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mc:AlternateContent xmlns:mc="http://schemas.openxmlformats.org/markup-compatibility/2006">
    <mc:Choice Requires="x15">
      <x15ac:absPath xmlns:x15ac="http://schemas.microsoft.com/office/spreadsheetml/2010/11/ac" url="C:\Users\HP\Downloads\"/>
    </mc:Choice>
  </mc:AlternateContent>
  <xr:revisionPtr revIDLastSave="0" documentId="13_ncr:1_{15A49F9B-6DFF-44B7-A955-093D975A8D5A}" xr6:coauthVersionLast="47" xr6:coauthVersionMax="47" xr10:uidLastSave="{00000000-0000-0000-0000-000000000000}"/>
  <bookViews>
    <workbookView xWindow="4140" yWindow="3360" windowWidth="15375" windowHeight="7785" activeTab="2" xr2:uid="{00000000-000D-0000-FFFF-FFFF00000000}"/>
  </bookViews>
  <sheets>
    <sheet name="pivot table" sheetId="3" r:id="rId1"/>
    <sheet name="Sales Products" sheetId="1" r:id="rId2"/>
    <sheet name="Dashboard" sheetId="2" r:id="rId3"/>
  </sheets>
  <definedNames>
    <definedName name="NativeTimeline_Date">#N/A</definedName>
    <definedName name="Slicer_Item">#N/A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N5" i="3" l="1"/>
  <c r="N8" i="3"/>
</calcChain>
</file>

<file path=xl/sharedStrings.xml><?xml version="1.0" encoding="utf-8"?>
<sst xmlns="http://schemas.openxmlformats.org/spreadsheetml/2006/main" count="185" uniqueCount="36">
  <si>
    <t>Num</t>
  </si>
  <si>
    <t>Date</t>
  </si>
  <si>
    <t>Customer</t>
  </si>
  <si>
    <t>Region</t>
  </si>
  <si>
    <t>Item</t>
  </si>
  <si>
    <t>Quantity</t>
  </si>
  <si>
    <t>Price</t>
  </si>
  <si>
    <t>Amount</t>
  </si>
  <si>
    <t>Bright Ventures</t>
  </si>
  <si>
    <t>West</t>
  </si>
  <si>
    <t>Biscuit</t>
  </si>
  <si>
    <t>John Traders</t>
  </si>
  <si>
    <t>Beans</t>
  </si>
  <si>
    <t>North</t>
  </si>
  <si>
    <t>Salt</t>
  </si>
  <si>
    <t>Ade Supermarket</t>
  </si>
  <si>
    <t>East</t>
  </si>
  <si>
    <t>Rice</t>
  </si>
  <si>
    <t>Mega Shop</t>
  </si>
  <si>
    <t>Prime Retail</t>
  </si>
  <si>
    <t>Kemi Stores</t>
  </si>
  <si>
    <t>Oil</t>
  </si>
  <si>
    <t>City Wholesale</t>
  </si>
  <si>
    <t>Global Mart</t>
  </si>
  <si>
    <t>Tea</t>
  </si>
  <si>
    <t>South</t>
  </si>
  <si>
    <t>Soap</t>
  </si>
  <si>
    <t>Flour</t>
  </si>
  <si>
    <t>Milk</t>
  </si>
  <si>
    <t>Sunrise Market</t>
  </si>
  <si>
    <t>Elite Goods</t>
  </si>
  <si>
    <t>Sugar</t>
  </si>
  <si>
    <t>Row Labels</t>
  </si>
  <si>
    <t>Grand Total</t>
  </si>
  <si>
    <t>Sum of Amount</t>
  </si>
  <si>
    <t>Count of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</si>
</sst>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1" fillId="0" borderId="0" xfId="0" applyFont="1"/>
    <xf numFmtId="0" fontId="0" fillId="0" borderId="0" xfId="0" pivotButton="1"/>
    <xf numFmtId="0" fontId="0" fillId="0" borderId="0" xfId="0" applyAlignment="1">
      <alignment horizontal="left"/>
    </xf>
    <xf numFmtId="164" fontId="1" fillId="0" borderId="0" xfId="0" applyNumberFormat="1" applyFont="1"/>
    <xf numFmtId="164" fontId="0" fillId="0" borderId="0" xfId="0" applyNumberFormat="1"/>
    <xf numFmtId="14" fontId="0" fillId="0" borderId="0" xfId="0" applyNumberFormat="1"/>
    <xf numFmtId="14" fontId="0" fillId="0" borderId="0" xfId="0" applyNumberFormat="1" applyAlignment="1">
      <alignment horizontal="left"/>
    </xf>
    <xf numFmtId="0" fontId="0" fillId="0" borderId="0" xfId="0" applyFont="1"/>
    <xf numFmtId="0" fontId="0" fillId="0" borderId="0" xfId="0" applyNumberFormat="1"/>
    <xf numFmtId="3" fontId="0" fillId="0" borderId="0" xfId="0" applyNumberFormat="1"/>
  </cellXfs>
  <cellStyles count="1">
    <cellStyle name="Normal" xfId="0" builtinId="0"/>
  </cellStyles>
  <dxfs count="0"/>
  <tableStyles count="0" defaultTableStyle="TableStyleMedium9" defaultPivotStyle="PivotStyleLight16"/>
  <colors>
    <mruColors>
      <color rgb="FF087505"/>
      <color rgb="FF708B39"/>
      <color rgb="FF5A702E"/>
      <color rgb="FF09880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11/relationships/timelineCache" Target="timelineCaches/timeline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[keehy work 3.0.xlsx]pivot table!PivotTable5</c:name>
    <c:fmtId val="10"/>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table'!$E$3</c:f>
              <c:strCache>
                <c:ptCount val="1"/>
                <c:pt idx="0">
                  <c:v>Total</c:v>
                </c:pt>
              </c:strCache>
            </c:strRef>
          </c:tx>
          <c:spPr>
            <a:solidFill>
              <a:schemeClr val="accent1"/>
            </a:solidFill>
            <a:ln>
              <a:noFill/>
            </a:ln>
            <a:effectLst/>
            <a:sp3d/>
          </c:spPr>
          <c:invertIfNegative val="0"/>
          <c:cat>
            <c:strRef>
              <c:f>'pivot table'!$D$4:$D$8</c:f>
              <c:strCache>
                <c:ptCount val="4"/>
                <c:pt idx="0">
                  <c:v>East</c:v>
                </c:pt>
                <c:pt idx="1">
                  <c:v>North</c:v>
                </c:pt>
                <c:pt idx="2">
                  <c:v>South</c:v>
                </c:pt>
                <c:pt idx="3">
                  <c:v>West</c:v>
                </c:pt>
              </c:strCache>
            </c:strRef>
          </c:cat>
          <c:val>
            <c:numRef>
              <c:f>'pivot table'!$E$4:$E$8</c:f>
              <c:numCache>
                <c:formatCode>General</c:formatCode>
                <c:ptCount val="4"/>
                <c:pt idx="0">
                  <c:v>95325</c:v>
                </c:pt>
                <c:pt idx="1">
                  <c:v>43846</c:v>
                </c:pt>
                <c:pt idx="2">
                  <c:v>152430</c:v>
                </c:pt>
                <c:pt idx="3">
                  <c:v>48879</c:v>
                </c:pt>
              </c:numCache>
            </c:numRef>
          </c:val>
          <c:extLst>
            <c:ext xmlns:c16="http://schemas.microsoft.com/office/drawing/2014/chart" uri="{C3380CC4-5D6E-409C-BE32-E72D297353CC}">
              <c16:uniqueId val="{00000000-E163-4283-831D-BD4F5FAD22F7}"/>
            </c:ext>
          </c:extLst>
        </c:ser>
        <c:dLbls>
          <c:showLegendKey val="0"/>
          <c:showVal val="0"/>
          <c:showCatName val="0"/>
          <c:showSerName val="0"/>
          <c:showPercent val="0"/>
          <c:showBubbleSize val="0"/>
        </c:dLbls>
        <c:gapWidth val="150"/>
        <c:shape val="box"/>
        <c:axId val="534709064"/>
        <c:axId val="536319648"/>
        <c:axId val="0"/>
      </c:bar3DChart>
      <c:catAx>
        <c:axId val="5347090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36319648"/>
        <c:crosses val="autoZero"/>
        <c:auto val="1"/>
        <c:lblAlgn val="ctr"/>
        <c:lblOffset val="100"/>
        <c:noMultiLvlLbl val="0"/>
      </c:catAx>
      <c:valAx>
        <c:axId val="5363196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347090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[keehy work 3.0.xlsx]pivot table!PivotTable7</c:name>
    <c:fmtId val="45"/>
  </c:pivotSource>
  <c:chart>
    <c:autoTitleDeleted val="1"/>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09443429265162"/>
          <c:y val="0.12711872889278586"/>
          <c:w val="0.80732964827530562"/>
          <c:h val="0.47386992784594145"/>
        </c:manualLayout>
      </c:layout>
      <c:areaChart>
        <c:grouping val="standard"/>
        <c:varyColors val="0"/>
        <c:ser>
          <c:idx val="0"/>
          <c:order val="0"/>
          <c:tx>
            <c:strRef>
              <c:f>'pivot table'!$H$3</c:f>
              <c:strCache>
                <c:ptCount val="1"/>
                <c:pt idx="0">
                  <c:v>Total</c:v>
                </c:pt>
              </c:strCache>
            </c:strRef>
          </c:tx>
          <c:spPr>
            <a:solidFill>
              <a:schemeClr val="accent3"/>
            </a:solidFill>
            <a:ln>
              <a:noFill/>
            </a:ln>
            <a:effectLst/>
          </c:spPr>
          <c:cat>
            <c:strRef>
              <c:f>'pivot table'!$G$4:$G$10</c:f>
              <c:strCache>
                <c:ptCount val="6"/>
                <c:pt idx="0">
                  <c:v>05/02/2026</c:v>
                </c:pt>
                <c:pt idx="1">
                  <c:v>07/02/2026</c:v>
                </c:pt>
                <c:pt idx="2">
                  <c:v>09/02/2026</c:v>
                </c:pt>
                <c:pt idx="3">
                  <c:v>13/02/2026</c:v>
                </c:pt>
                <c:pt idx="4">
                  <c:v>19/02/2026</c:v>
                </c:pt>
                <c:pt idx="5">
                  <c:v>05/03/2026</c:v>
                </c:pt>
              </c:strCache>
            </c:strRef>
          </c:cat>
          <c:val>
            <c:numRef>
              <c:f>'pivot table'!$H$4:$H$10</c:f>
              <c:numCache>
                <c:formatCode>General</c:formatCode>
                <c:ptCount val="6"/>
                <c:pt idx="0">
                  <c:v>35780</c:v>
                </c:pt>
                <c:pt idx="1">
                  <c:v>35555</c:v>
                </c:pt>
                <c:pt idx="2">
                  <c:v>95325</c:v>
                </c:pt>
                <c:pt idx="3">
                  <c:v>152430</c:v>
                </c:pt>
                <c:pt idx="4">
                  <c:v>8066</c:v>
                </c:pt>
                <c:pt idx="5">
                  <c:v>13324</c:v>
                </c:pt>
              </c:numCache>
            </c:numRef>
          </c:val>
          <c:extLst>
            <c:ext xmlns:c16="http://schemas.microsoft.com/office/drawing/2014/chart" uri="{C3380CC4-5D6E-409C-BE32-E72D297353CC}">
              <c16:uniqueId val="{00000000-7BA3-4886-B650-27043C68C299}"/>
            </c:ext>
          </c:extLst>
        </c:ser>
        <c:dLbls>
          <c:showLegendKey val="0"/>
          <c:showVal val="0"/>
          <c:showCatName val="0"/>
          <c:showSerName val="0"/>
          <c:showPercent val="0"/>
          <c:showBubbleSize val="0"/>
        </c:dLbls>
        <c:axId val="534710376"/>
        <c:axId val="534710048"/>
      </c:areaChart>
      <c:catAx>
        <c:axId val="5347103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34710048"/>
        <c:crosses val="autoZero"/>
        <c:auto val="1"/>
        <c:lblAlgn val="ctr"/>
        <c:lblOffset val="100"/>
        <c:noMultiLvlLbl val="0"/>
      </c:catAx>
      <c:valAx>
        <c:axId val="5347100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34710376"/>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[keehy work 3.0.xlsx]pivot table!PivotTable9</c:name>
    <c:fmtId val="53"/>
  </c:pivotSource>
  <c:chart>
    <c:autoTitleDeleted val="1"/>
    <c:pivotFmts>
      <c:pivotFmt>
        <c:idx val="0"/>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table'!$K$3</c:f>
              <c:strCache>
                <c:ptCount val="1"/>
                <c:pt idx="0">
                  <c:v>Total</c:v>
                </c:pt>
              </c:strCache>
            </c:strRef>
          </c:tx>
          <c:spPr>
            <a:solidFill>
              <a:schemeClr val="accent3"/>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table'!$J$4:$J$5</c:f>
              <c:strCache>
                <c:ptCount val="1"/>
                <c:pt idx="0">
                  <c:v>Salt</c:v>
                </c:pt>
              </c:strCache>
            </c:strRef>
          </c:cat>
          <c:val>
            <c:numRef>
              <c:f>'pivot table'!$K$4:$K$5</c:f>
              <c:numCache>
                <c:formatCode>General</c:formatCode>
                <c:ptCount val="1"/>
                <c:pt idx="0">
                  <c:v>340480</c:v>
                </c:pt>
              </c:numCache>
            </c:numRef>
          </c:val>
          <c:extLst>
            <c:ext xmlns:c16="http://schemas.microsoft.com/office/drawing/2014/chart" uri="{C3380CC4-5D6E-409C-BE32-E72D297353CC}">
              <c16:uniqueId val="{00000000-005D-44D8-9D27-A85D1771EDC7}"/>
            </c:ext>
          </c:extLst>
        </c:ser>
        <c:dLbls>
          <c:showLegendKey val="0"/>
          <c:showVal val="1"/>
          <c:showCatName val="0"/>
          <c:showSerName val="0"/>
          <c:showPercent val="0"/>
          <c:showBubbleSize val="0"/>
        </c:dLbls>
        <c:gapWidth val="150"/>
        <c:shape val="box"/>
        <c:axId val="537659720"/>
        <c:axId val="537660048"/>
        <c:axId val="0"/>
      </c:bar3DChart>
      <c:catAx>
        <c:axId val="5376597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37660048"/>
        <c:crosses val="autoZero"/>
        <c:auto val="1"/>
        <c:lblAlgn val="ctr"/>
        <c:lblOffset val="100"/>
        <c:noMultiLvlLbl val="0"/>
      </c:catAx>
      <c:valAx>
        <c:axId val="5376600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376597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[keehy work 3.0.xlsx]pivot table!PivotTable5</c:name>
    <c:fmtId val="13"/>
  </c:pivotSource>
  <c:chart>
    <c:autoTitleDeleted val="1"/>
    <c:pivotFmts>
      <c:pivotFmt>
        <c:idx val="0"/>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table'!$E$3</c:f>
              <c:strCache>
                <c:ptCount val="1"/>
                <c:pt idx="0">
                  <c:v>Total</c:v>
                </c:pt>
              </c:strCache>
            </c:strRef>
          </c:tx>
          <c:spPr>
            <a:solidFill>
              <a:schemeClr val="accent3"/>
            </a:solidFill>
            <a:ln>
              <a:noFill/>
            </a:ln>
            <a:effectLst/>
            <a:sp3d/>
          </c:spPr>
          <c:invertIfNegative val="0"/>
          <c:cat>
            <c:strRef>
              <c:f>'pivot table'!$D$4:$D$8</c:f>
              <c:strCache>
                <c:ptCount val="4"/>
                <c:pt idx="0">
                  <c:v>East</c:v>
                </c:pt>
                <c:pt idx="1">
                  <c:v>North</c:v>
                </c:pt>
                <c:pt idx="2">
                  <c:v>South</c:v>
                </c:pt>
                <c:pt idx="3">
                  <c:v>West</c:v>
                </c:pt>
              </c:strCache>
            </c:strRef>
          </c:cat>
          <c:val>
            <c:numRef>
              <c:f>'pivot table'!$E$4:$E$8</c:f>
              <c:numCache>
                <c:formatCode>General</c:formatCode>
                <c:ptCount val="4"/>
                <c:pt idx="0">
                  <c:v>95325</c:v>
                </c:pt>
                <c:pt idx="1">
                  <c:v>43846</c:v>
                </c:pt>
                <c:pt idx="2">
                  <c:v>152430</c:v>
                </c:pt>
                <c:pt idx="3">
                  <c:v>48879</c:v>
                </c:pt>
              </c:numCache>
            </c:numRef>
          </c:val>
          <c:extLst>
            <c:ext xmlns:c16="http://schemas.microsoft.com/office/drawing/2014/chart" uri="{C3380CC4-5D6E-409C-BE32-E72D297353CC}">
              <c16:uniqueId val="{00000000-D29C-45F5-A4A1-09A7D1CF8AE5}"/>
            </c:ext>
          </c:extLst>
        </c:ser>
        <c:dLbls>
          <c:showLegendKey val="0"/>
          <c:showVal val="0"/>
          <c:showCatName val="0"/>
          <c:showSerName val="0"/>
          <c:showPercent val="0"/>
          <c:showBubbleSize val="0"/>
        </c:dLbls>
        <c:gapWidth val="150"/>
        <c:shape val="box"/>
        <c:axId val="534709064"/>
        <c:axId val="536319648"/>
        <c:axId val="0"/>
      </c:bar3DChart>
      <c:catAx>
        <c:axId val="5347090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36319648"/>
        <c:crosses val="autoZero"/>
        <c:auto val="1"/>
        <c:lblAlgn val="ctr"/>
        <c:lblOffset val="100"/>
        <c:noMultiLvlLbl val="0"/>
      </c:catAx>
      <c:valAx>
        <c:axId val="5363196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347090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[keehy work 3.0.xlsx]pivot table!PivotTable7</c:name>
    <c:fmtId val="48"/>
  </c:pivotSource>
  <c:chart>
    <c:autoTitleDeleted val="1"/>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table'!$H$3</c:f>
              <c:strCache>
                <c:ptCount val="1"/>
                <c:pt idx="0">
                  <c:v>Total</c:v>
                </c:pt>
              </c:strCache>
            </c:strRef>
          </c:tx>
          <c:spPr>
            <a:solidFill>
              <a:schemeClr val="accent3"/>
            </a:solidFill>
            <a:ln>
              <a:noFill/>
            </a:ln>
            <a:effectLst/>
          </c:spPr>
          <c:cat>
            <c:strRef>
              <c:f>'pivot table'!$G$4:$G$10</c:f>
              <c:strCache>
                <c:ptCount val="6"/>
                <c:pt idx="0">
                  <c:v>05/02/2026</c:v>
                </c:pt>
                <c:pt idx="1">
                  <c:v>07/02/2026</c:v>
                </c:pt>
                <c:pt idx="2">
                  <c:v>09/02/2026</c:v>
                </c:pt>
                <c:pt idx="3">
                  <c:v>13/02/2026</c:v>
                </c:pt>
                <c:pt idx="4">
                  <c:v>19/02/2026</c:v>
                </c:pt>
                <c:pt idx="5">
                  <c:v>05/03/2026</c:v>
                </c:pt>
              </c:strCache>
            </c:strRef>
          </c:cat>
          <c:val>
            <c:numRef>
              <c:f>'pivot table'!$H$4:$H$10</c:f>
              <c:numCache>
                <c:formatCode>General</c:formatCode>
                <c:ptCount val="6"/>
                <c:pt idx="0">
                  <c:v>35780</c:v>
                </c:pt>
                <c:pt idx="1">
                  <c:v>35555</c:v>
                </c:pt>
                <c:pt idx="2">
                  <c:v>95325</c:v>
                </c:pt>
                <c:pt idx="3">
                  <c:v>152430</c:v>
                </c:pt>
                <c:pt idx="4">
                  <c:v>8066</c:v>
                </c:pt>
                <c:pt idx="5">
                  <c:v>13324</c:v>
                </c:pt>
              </c:numCache>
            </c:numRef>
          </c:val>
          <c:extLst>
            <c:ext xmlns:c16="http://schemas.microsoft.com/office/drawing/2014/chart" uri="{C3380CC4-5D6E-409C-BE32-E72D297353CC}">
              <c16:uniqueId val="{00000000-F0D3-4CE7-99C4-579DD738D9AB}"/>
            </c:ext>
          </c:extLst>
        </c:ser>
        <c:dLbls>
          <c:showLegendKey val="0"/>
          <c:showVal val="0"/>
          <c:showCatName val="0"/>
          <c:showSerName val="0"/>
          <c:showPercent val="0"/>
          <c:showBubbleSize val="0"/>
        </c:dLbls>
        <c:axId val="534710376"/>
        <c:axId val="534710048"/>
      </c:areaChart>
      <c:catAx>
        <c:axId val="5347103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34710048"/>
        <c:crosses val="autoZero"/>
        <c:auto val="1"/>
        <c:lblAlgn val="ctr"/>
        <c:lblOffset val="100"/>
        <c:noMultiLvlLbl val="0"/>
      </c:catAx>
      <c:valAx>
        <c:axId val="5347100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34710376"/>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[keehy work 3.0.xlsx]pivot table!PivotTable9</c:name>
    <c:fmtId val="56"/>
  </c:pivotSource>
  <c:chart>
    <c:autoTitleDeleted val="1"/>
    <c:pivotFmts>
      <c:pivotFmt>
        <c:idx val="0"/>
        <c:spPr>
          <a:solidFill>
            <a:schemeClr val="accent3"/>
          </a:solidFill>
          <a:ln>
            <a:noFill/>
          </a:ln>
          <a:effectLst/>
          <a:sp3d/>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table'!$K$3</c:f>
              <c:strCache>
                <c:ptCount val="1"/>
                <c:pt idx="0">
                  <c:v>Total</c:v>
                </c:pt>
              </c:strCache>
            </c:strRef>
          </c:tx>
          <c:spPr>
            <a:solidFill>
              <a:schemeClr val="accent3"/>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table'!$J$4:$J$5</c:f>
              <c:strCache>
                <c:ptCount val="1"/>
                <c:pt idx="0">
                  <c:v>Salt</c:v>
                </c:pt>
              </c:strCache>
            </c:strRef>
          </c:cat>
          <c:val>
            <c:numRef>
              <c:f>'pivot table'!$K$4:$K$5</c:f>
              <c:numCache>
                <c:formatCode>General</c:formatCode>
                <c:ptCount val="1"/>
                <c:pt idx="0">
                  <c:v>340480</c:v>
                </c:pt>
              </c:numCache>
            </c:numRef>
          </c:val>
          <c:extLst>
            <c:ext xmlns:c16="http://schemas.microsoft.com/office/drawing/2014/chart" uri="{C3380CC4-5D6E-409C-BE32-E72D297353CC}">
              <c16:uniqueId val="{00000000-205D-46C3-A774-D1BC6F5ED5C6}"/>
            </c:ext>
          </c:extLst>
        </c:ser>
        <c:dLbls>
          <c:showLegendKey val="0"/>
          <c:showVal val="1"/>
          <c:showCatName val="0"/>
          <c:showSerName val="0"/>
          <c:showPercent val="0"/>
          <c:showBubbleSize val="0"/>
        </c:dLbls>
        <c:gapWidth val="150"/>
        <c:shape val="box"/>
        <c:axId val="537659720"/>
        <c:axId val="537660048"/>
        <c:axId val="0"/>
      </c:bar3DChart>
      <c:catAx>
        <c:axId val="5376597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37660048"/>
        <c:crosses val="autoZero"/>
        <c:auto val="1"/>
        <c:lblAlgn val="ctr"/>
        <c:lblOffset val="100"/>
        <c:noMultiLvlLbl val="0"/>
      </c:catAx>
      <c:valAx>
        <c:axId val="5376600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376597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1">
  <a:schemeClr val="accent1"/>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withinLinear" id="16">
  <a:schemeClr val="accent3"/>
</cs:colorStyle>
</file>

<file path=xl/charts/colors6.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chart" Target="../charts/chart6.xml"/><Relationship Id="rId7" Type="http://schemas.openxmlformats.org/officeDocument/2006/relationships/image" Target="../media/image4.svg"/><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image" Target="../media/image3.png"/><Relationship Id="rId11" Type="http://schemas.openxmlformats.org/officeDocument/2006/relationships/image" Target="../media/image8.svg"/><Relationship Id="rId5" Type="http://schemas.openxmlformats.org/officeDocument/2006/relationships/image" Target="../media/image2.svg"/><Relationship Id="rId10" Type="http://schemas.openxmlformats.org/officeDocument/2006/relationships/image" Target="../media/image7.png"/><Relationship Id="rId4" Type="http://schemas.openxmlformats.org/officeDocument/2006/relationships/image" Target="../media/image1.png"/><Relationship Id="rId9" Type="http://schemas.openxmlformats.org/officeDocument/2006/relationships/image" Target="../media/image6.svg"/></Relationships>
</file>

<file path=xl/drawings/drawing1.xml><?xml version="1.0" encoding="utf-8"?>
<xdr:wsDr xmlns:xdr="http://schemas.openxmlformats.org/drawingml/2006/spreadsheetDrawing" xmlns:a="http://schemas.openxmlformats.org/drawingml/2006/main">
  <xdr:twoCellAnchor editAs="oneCell">
    <xdr:from>
      <xdr:col>1</xdr:col>
      <xdr:colOff>237068</xdr:colOff>
      <xdr:row>15</xdr:row>
      <xdr:rowOff>152401</xdr:rowOff>
    </xdr:from>
    <xdr:to>
      <xdr:col>7</xdr:col>
      <xdr:colOff>825501</xdr:colOff>
      <xdr:row>20</xdr:row>
      <xdr:rowOff>165100</xdr:rowOff>
    </xdr:to>
    <mc:AlternateContent xmlns:mc="http://schemas.openxmlformats.org/markup-compatibility/2006" xmlns:tsle="http://schemas.microsoft.com/office/drawing/2012/timeslicer">
      <mc:Choice Requires="tsle">
        <xdr:graphicFrame macro="">
          <xdr:nvGraphicFramePr>
            <xdr:cNvPr id="2" name="Date">
              <a:extLst>
                <a:ext uri="{FF2B5EF4-FFF2-40B4-BE49-F238E27FC236}">
                  <a16:creationId xmlns:a16="http://schemas.microsoft.com/office/drawing/2014/main" id="{34BA7983-BE19-4185-98E1-CD05363B2A46}"/>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104901" y="2882901"/>
              <a:ext cx="6146800" cy="922866"/>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xdr:col>
      <xdr:colOff>110066</xdr:colOff>
      <xdr:row>16</xdr:row>
      <xdr:rowOff>156633</xdr:rowOff>
    </xdr:from>
    <xdr:to>
      <xdr:col>3</xdr:col>
      <xdr:colOff>50799</xdr:colOff>
      <xdr:row>22</xdr:row>
      <xdr:rowOff>25400</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865F9F93-B7B2-4B76-9B85-CCE2DE9D08E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77899" y="3069166"/>
              <a:ext cx="1828800" cy="9609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639232</xdr:colOff>
      <xdr:row>22</xdr:row>
      <xdr:rowOff>173567</xdr:rowOff>
    </xdr:from>
    <xdr:to>
      <xdr:col>7</xdr:col>
      <xdr:colOff>529167</xdr:colOff>
      <xdr:row>27</xdr:row>
      <xdr:rowOff>118534</xdr:rowOff>
    </xdr:to>
    <mc:AlternateContent xmlns:mc="http://schemas.openxmlformats.org/markup-compatibility/2006" xmlns:a14="http://schemas.microsoft.com/office/drawing/2010/main">
      <mc:Choice Requires="a14">
        <xdr:graphicFrame macro="">
          <xdr:nvGraphicFramePr>
            <xdr:cNvPr id="4" name="Item">
              <a:extLst>
                <a:ext uri="{FF2B5EF4-FFF2-40B4-BE49-F238E27FC236}">
                  <a16:creationId xmlns:a16="http://schemas.microsoft.com/office/drawing/2014/main" id="{0FD87203-C6F2-4F4C-A5E5-A1A863F5B66F}"/>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mlns="">
        <xdr:sp macro="" textlink="">
          <xdr:nvSpPr>
            <xdr:cNvPr id="0" name=""/>
            <xdr:cNvSpPr>
              <a:spLocks noTextEdit="1"/>
            </xdr:cNvSpPr>
          </xdr:nvSpPr>
          <xdr:spPr>
            <a:xfrm>
              <a:off x="1507065" y="4178300"/>
              <a:ext cx="5448302" cy="8551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861483</xdr:colOff>
      <xdr:row>14</xdr:row>
      <xdr:rowOff>42333</xdr:rowOff>
    </xdr:from>
    <xdr:to>
      <xdr:col>7</xdr:col>
      <xdr:colOff>635000</xdr:colOff>
      <xdr:row>21</xdr:row>
      <xdr:rowOff>110065</xdr:rowOff>
    </xdr:to>
    <xdr:graphicFrame macro="">
      <xdr:nvGraphicFramePr>
        <xdr:cNvPr id="5" name="Chart 4">
          <a:extLst>
            <a:ext uri="{FF2B5EF4-FFF2-40B4-BE49-F238E27FC236}">
              <a16:creationId xmlns:a16="http://schemas.microsoft.com/office/drawing/2014/main" id="{65CDE70A-9FBE-49E8-8897-9B0ED132DB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315384</xdr:colOff>
      <xdr:row>20</xdr:row>
      <xdr:rowOff>8466</xdr:rowOff>
    </xdr:from>
    <xdr:to>
      <xdr:col>13</xdr:col>
      <xdr:colOff>605368</xdr:colOff>
      <xdr:row>28</xdr:row>
      <xdr:rowOff>50799</xdr:rowOff>
    </xdr:to>
    <xdr:graphicFrame macro="">
      <xdr:nvGraphicFramePr>
        <xdr:cNvPr id="6" name="Chart 5">
          <a:extLst>
            <a:ext uri="{FF2B5EF4-FFF2-40B4-BE49-F238E27FC236}">
              <a16:creationId xmlns:a16="http://schemas.microsoft.com/office/drawing/2014/main" id="{2E37AC47-E98F-45AA-8FDD-D678FF0464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861483</xdr:colOff>
      <xdr:row>15</xdr:row>
      <xdr:rowOff>173566</xdr:rowOff>
    </xdr:from>
    <xdr:to>
      <xdr:col>6</xdr:col>
      <xdr:colOff>368300</xdr:colOff>
      <xdr:row>21</xdr:row>
      <xdr:rowOff>110065</xdr:rowOff>
    </xdr:to>
    <xdr:graphicFrame macro="">
      <xdr:nvGraphicFramePr>
        <xdr:cNvPr id="7" name="Chart 6">
          <a:extLst>
            <a:ext uri="{FF2B5EF4-FFF2-40B4-BE49-F238E27FC236}">
              <a16:creationId xmlns:a16="http://schemas.microsoft.com/office/drawing/2014/main" id="{A37BE966-E804-445B-A77F-3846FDD491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643466</xdr:colOff>
      <xdr:row>1</xdr:row>
      <xdr:rowOff>8467</xdr:rowOff>
    </xdr:from>
    <xdr:to>
      <xdr:col>19</xdr:col>
      <xdr:colOff>287866</xdr:colOff>
      <xdr:row>41</xdr:row>
      <xdr:rowOff>135466</xdr:rowOff>
    </xdr:to>
    <xdr:sp macro="" textlink="">
      <xdr:nvSpPr>
        <xdr:cNvPr id="2" name="Rectangle: Rounded Corners 1">
          <a:extLst>
            <a:ext uri="{FF2B5EF4-FFF2-40B4-BE49-F238E27FC236}">
              <a16:creationId xmlns:a16="http://schemas.microsoft.com/office/drawing/2014/main" id="{41D83E71-40FA-40D5-A1FE-1E66F66E09DE}"/>
            </a:ext>
          </a:extLst>
        </xdr:cNvPr>
        <xdr:cNvSpPr/>
      </xdr:nvSpPr>
      <xdr:spPr>
        <a:xfrm>
          <a:off x="643466" y="190500"/>
          <a:ext cx="11870267" cy="7408333"/>
        </a:xfrm>
        <a:prstGeom prst="roundRect">
          <a:avLst>
            <a:gd name="adj" fmla="val 1143"/>
          </a:avLst>
        </a:prstGeom>
        <a:solidFill>
          <a:srgbClr val="087505"/>
        </a:solid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347132</xdr:colOff>
      <xdr:row>1</xdr:row>
      <xdr:rowOff>135467</xdr:rowOff>
    </xdr:from>
    <xdr:to>
      <xdr:col>19</xdr:col>
      <xdr:colOff>105832</xdr:colOff>
      <xdr:row>40</xdr:row>
      <xdr:rowOff>131234</xdr:rowOff>
    </xdr:to>
    <xdr:sp macro="" textlink="">
      <xdr:nvSpPr>
        <xdr:cNvPr id="3" name="Rectangle: Rounded Corners 2">
          <a:extLst>
            <a:ext uri="{FF2B5EF4-FFF2-40B4-BE49-F238E27FC236}">
              <a16:creationId xmlns:a16="http://schemas.microsoft.com/office/drawing/2014/main" id="{D4BC00AD-F235-4697-9E0E-770A6BB5F9F8}"/>
            </a:ext>
          </a:extLst>
        </xdr:cNvPr>
        <xdr:cNvSpPr/>
      </xdr:nvSpPr>
      <xdr:spPr>
        <a:xfrm>
          <a:off x="2277532" y="317500"/>
          <a:ext cx="10054167" cy="7095067"/>
        </a:xfrm>
        <a:prstGeom prst="roundRect">
          <a:avLst>
            <a:gd name="adj" fmla="val 1815"/>
          </a:avLst>
        </a:prstGeom>
        <a:solidFill>
          <a:schemeClr val="accent3">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3</xdr:col>
      <xdr:colOff>579967</xdr:colOff>
      <xdr:row>2</xdr:row>
      <xdr:rowOff>105832</xdr:rowOff>
    </xdr:from>
    <xdr:to>
      <xdr:col>13</xdr:col>
      <xdr:colOff>516466</xdr:colOff>
      <xdr:row>7</xdr:row>
      <xdr:rowOff>118532</xdr:rowOff>
    </xdr:to>
    <mc:AlternateContent xmlns:mc="http://schemas.openxmlformats.org/markup-compatibility/2006" xmlns:tsle="http://schemas.microsoft.com/office/drawing/2012/timeslicer">
      <mc:Choice Requires="tsle">
        <xdr:graphicFrame macro="">
          <xdr:nvGraphicFramePr>
            <xdr:cNvPr id="4" name="Date 1">
              <a:extLst>
                <a:ext uri="{FF2B5EF4-FFF2-40B4-BE49-F238E27FC236}">
                  <a16:creationId xmlns:a16="http://schemas.microsoft.com/office/drawing/2014/main" id="{1B96D382-ABE2-4B4E-92C2-1A36A65FA71C}"/>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2503110" y="468689"/>
              <a:ext cx="6346975" cy="919843"/>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14</xdr:col>
      <xdr:colOff>46567</xdr:colOff>
      <xdr:row>2</xdr:row>
      <xdr:rowOff>110066</xdr:rowOff>
    </xdr:from>
    <xdr:to>
      <xdr:col>18</xdr:col>
      <xdr:colOff>461435</xdr:colOff>
      <xdr:row>7</xdr:row>
      <xdr:rowOff>110067</xdr:rowOff>
    </xdr:to>
    <mc:AlternateContent xmlns:mc="http://schemas.openxmlformats.org/markup-compatibility/2006" xmlns:a14="http://schemas.microsoft.com/office/drawing/2010/main">
      <mc:Choice Requires="a14">
        <xdr:graphicFrame macro="">
          <xdr:nvGraphicFramePr>
            <xdr:cNvPr id="5" name="Region 1">
              <a:extLst>
                <a:ext uri="{FF2B5EF4-FFF2-40B4-BE49-F238E27FC236}">
                  <a16:creationId xmlns:a16="http://schemas.microsoft.com/office/drawing/2014/main" id="{FDAED4B9-9662-46BA-BFDB-C0AC857916BB}"/>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9021234" y="472923"/>
              <a:ext cx="2979058" cy="9071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279400</xdr:colOff>
      <xdr:row>11</xdr:row>
      <xdr:rowOff>1</xdr:rowOff>
    </xdr:from>
    <xdr:to>
      <xdr:col>3</xdr:col>
      <xdr:colOff>148166</xdr:colOff>
      <xdr:row>12</xdr:row>
      <xdr:rowOff>84668</xdr:rowOff>
    </xdr:to>
    <xdr:sp macro="[0]!RectangleRoundedCorners6_Click" textlink="">
      <xdr:nvSpPr>
        <xdr:cNvPr id="7" name="Rectangle: Rounded Corners 6">
          <a:extLst>
            <a:ext uri="{FF2B5EF4-FFF2-40B4-BE49-F238E27FC236}">
              <a16:creationId xmlns:a16="http://schemas.microsoft.com/office/drawing/2014/main" id="{0B60D98E-151D-427D-80E7-D7A53922A603}"/>
            </a:ext>
          </a:extLst>
        </xdr:cNvPr>
        <xdr:cNvSpPr/>
      </xdr:nvSpPr>
      <xdr:spPr>
        <a:xfrm>
          <a:off x="920447" y="1995715"/>
          <a:ext cx="1150862" cy="266096"/>
        </a:xfrm>
        <a:prstGeom prst="roundRect">
          <a:avLst>
            <a:gd name="adj" fmla="val 42064"/>
          </a:avLst>
        </a:prstGeom>
        <a:solidFill>
          <a:schemeClr val="bg1"/>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rgbClr val="087505"/>
              </a:solidFill>
            </a:rPr>
            <a:t>Dashboard</a:t>
          </a:r>
        </a:p>
      </xdr:txBody>
    </xdr:sp>
    <xdr:clientData/>
  </xdr:twoCellAnchor>
  <xdr:twoCellAnchor>
    <xdr:from>
      <xdr:col>1</xdr:col>
      <xdr:colOff>258233</xdr:colOff>
      <xdr:row>14</xdr:row>
      <xdr:rowOff>101601</xdr:rowOff>
    </xdr:from>
    <xdr:to>
      <xdr:col>3</xdr:col>
      <xdr:colOff>126999</xdr:colOff>
      <xdr:row>16</xdr:row>
      <xdr:rowOff>4235</xdr:rowOff>
    </xdr:to>
    <xdr:sp macro="[0]!RectangleRoundedCorners7_Click" textlink="">
      <xdr:nvSpPr>
        <xdr:cNvPr id="8" name="Rectangle: Rounded Corners 7">
          <a:extLst>
            <a:ext uri="{FF2B5EF4-FFF2-40B4-BE49-F238E27FC236}">
              <a16:creationId xmlns:a16="http://schemas.microsoft.com/office/drawing/2014/main" id="{BE8B919D-E4EB-4D52-A096-FE00808F1798}"/>
            </a:ext>
          </a:extLst>
        </xdr:cNvPr>
        <xdr:cNvSpPr/>
      </xdr:nvSpPr>
      <xdr:spPr>
        <a:xfrm>
          <a:off x="901700" y="2650068"/>
          <a:ext cx="1155699" cy="266700"/>
        </a:xfrm>
        <a:prstGeom prst="roundRect">
          <a:avLst>
            <a:gd name="adj" fmla="val 42064"/>
          </a:avLst>
        </a:prstGeom>
        <a:solidFill>
          <a:srgbClr val="087505"/>
        </a:solidFill>
        <a:ln w="1905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bg1"/>
              </a:solidFill>
            </a:rPr>
            <a:t>Reprot</a:t>
          </a:r>
        </a:p>
      </xdr:txBody>
    </xdr:sp>
    <xdr:clientData/>
  </xdr:twoCellAnchor>
  <xdr:twoCellAnchor>
    <xdr:from>
      <xdr:col>1</xdr:col>
      <xdr:colOff>237066</xdr:colOff>
      <xdr:row>18</xdr:row>
      <xdr:rowOff>50800</xdr:rowOff>
    </xdr:from>
    <xdr:to>
      <xdr:col>3</xdr:col>
      <xdr:colOff>105832</xdr:colOff>
      <xdr:row>19</xdr:row>
      <xdr:rowOff>135467</xdr:rowOff>
    </xdr:to>
    <xdr:sp macro="[0]!RectangleRoundedCorners8_Click" textlink="">
      <xdr:nvSpPr>
        <xdr:cNvPr id="9" name="Rectangle: Rounded Corners 8">
          <a:extLst>
            <a:ext uri="{FF2B5EF4-FFF2-40B4-BE49-F238E27FC236}">
              <a16:creationId xmlns:a16="http://schemas.microsoft.com/office/drawing/2014/main" id="{D3B610C9-162F-4DA2-BF39-B598230F3840}"/>
            </a:ext>
          </a:extLst>
        </xdr:cNvPr>
        <xdr:cNvSpPr/>
      </xdr:nvSpPr>
      <xdr:spPr>
        <a:xfrm>
          <a:off x="880533" y="3327400"/>
          <a:ext cx="1155699" cy="266700"/>
        </a:xfrm>
        <a:prstGeom prst="roundRect">
          <a:avLst>
            <a:gd name="adj" fmla="val 42064"/>
          </a:avLst>
        </a:prstGeom>
        <a:noFill/>
        <a:ln w="1905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bg1"/>
              </a:solidFill>
            </a:rPr>
            <a:t>About</a:t>
          </a:r>
          <a:r>
            <a:rPr lang="en-US" sz="1100" b="1" baseline="0">
              <a:solidFill>
                <a:schemeClr val="bg1"/>
              </a:solidFill>
            </a:rPr>
            <a:t> us</a:t>
          </a:r>
          <a:endParaRPr lang="en-US" sz="1100" b="1">
            <a:solidFill>
              <a:schemeClr val="bg1"/>
            </a:solidFill>
          </a:endParaRPr>
        </a:p>
      </xdr:txBody>
    </xdr:sp>
    <xdr:clientData/>
  </xdr:twoCellAnchor>
  <xdr:twoCellAnchor editAs="oneCell">
    <xdr:from>
      <xdr:col>3</xdr:col>
      <xdr:colOff>563033</xdr:colOff>
      <xdr:row>8</xdr:row>
      <xdr:rowOff>46566</xdr:rowOff>
    </xdr:from>
    <xdr:to>
      <xdr:col>18</xdr:col>
      <xdr:colOff>461433</xdr:colOff>
      <xdr:row>12</xdr:row>
      <xdr:rowOff>173567</xdr:rowOff>
    </xdr:to>
    <mc:AlternateContent xmlns:mc="http://schemas.openxmlformats.org/markup-compatibility/2006" xmlns:a14="http://schemas.microsoft.com/office/drawing/2010/main">
      <mc:Choice Requires="a14">
        <xdr:graphicFrame macro="">
          <xdr:nvGraphicFramePr>
            <xdr:cNvPr id="10" name="Item 1">
              <a:extLst>
                <a:ext uri="{FF2B5EF4-FFF2-40B4-BE49-F238E27FC236}">
                  <a16:creationId xmlns:a16="http://schemas.microsoft.com/office/drawing/2014/main" id="{D985C4E3-CE53-4484-89DF-3812FB9BBCA7}"/>
                </a:ext>
              </a:extLst>
            </xdr:cNvPr>
            <xdr:cNvGraphicFramePr/>
          </xdr:nvGraphicFramePr>
          <xdr:xfrm>
            <a:off x="0" y="0"/>
            <a:ext cx="0" cy="0"/>
          </xdr:xfrm>
          <a:graphic>
            <a:graphicData uri="http://schemas.microsoft.com/office/drawing/2010/slicer">
              <sle:slicer xmlns:sle="http://schemas.microsoft.com/office/drawing/2010/slicer" name="Item 1"/>
            </a:graphicData>
          </a:graphic>
        </xdr:graphicFrame>
      </mc:Choice>
      <mc:Fallback xmlns="">
        <xdr:sp macro="" textlink="">
          <xdr:nvSpPr>
            <xdr:cNvPr id="0" name=""/>
            <xdr:cNvSpPr>
              <a:spLocks noTextEdit="1"/>
            </xdr:cNvSpPr>
          </xdr:nvSpPr>
          <xdr:spPr>
            <a:xfrm>
              <a:off x="2486176" y="1497995"/>
              <a:ext cx="9514114" cy="8527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499533</xdr:colOff>
      <xdr:row>16</xdr:row>
      <xdr:rowOff>152400</xdr:rowOff>
    </xdr:from>
    <xdr:to>
      <xdr:col>6</xdr:col>
      <xdr:colOff>448732</xdr:colOff>
      <xdr:row>19</xdr:row>
      <xdr:rowOff>114300</xdr:rowOff>
    </xdr:to>
    <xdr:sp macro="" textlink="">
      <xdr:nvSpPr>
        <xdr:cNvPr id="11" name="Rectangle: Rounded Corners 10">
          <a:extLst>
            <a:ext uri="{FF2B5EF4-FFF2-40B4-BE49-F238E27FC236}">
              <a16:creationId xmlns:a16="http://schemas.microsoft.com/office/drawing/2014/main" id="{D7A5A31A-A831-4AD9-B728-14F9B15C6AF3}"/>
            </a:ext>
          </a:extLst>
        </xdr:cNvPr>
        <xdr:cNvSpPr/>
      </xdr:nvSpPr>
      <xdr:spPr>
        <a:xfrm>
          <a:off x="2429933" y="3064933"/>
          <a:ext cx="1879599" cy="508000"/>
        </a:xfrm>
        <a:prstGeom prst="roundRect">
          <a:avLst/>
        </a:prstGeom>
        <a:solidFill>
          <a:srgbClr val="00B0F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aseline="0"/>
        </a:p>
      </xdr:txBody>
    </xdr:sp>
    <xdr:clientData/>
  </xdr:twoCellAnchor>
  <xdr:twoCellAnchor>
    <xdr:from>
      <xdr:col>4</xdr:col>
      <xdr:colOff>35683</xdr:colOff>
      <xdr:row>16</xdr:row>
      <xdr:rowOff>156633</xdr:rowOff>
    </xdr:from>
    <xdr:to>
      <xdr:col>6</xdr:col>
      <xdr:colOff>429384</xdr:colOff>
      <xdr:row>19</xdr:row>
      <xdr:rowOff>118533</xdr:rowOff>
    </xdr:to>
    <xdr:sp macro="" textlink="">
      <xdr:nvSpPr>
        <xdr:cNvPr id="12" name="Rectangle: Rounded Corners 11">
          <a:extLst>
            <a:ext uri="{FF2B5EF4-FFF2-40B4-BE49-F238E27FC236}">
              <a16:creationId xmlns:a16="http://schemas.microsoft.com/office/drawing/2014/main" id="{C5974D9A-24A1-4C3C-BA7B-72D0C31885FB}"/>
            </a:ext>
          </a:extLst>
        </xdr:cNvPr>
        <xdr:cNvSpPr/>
      </xdr:nvSpPr>
      <xdr:spPr>
        <a:xfrm>
          <a:off x="2599873" y="3059490"/>
          <a:ext cx="1675797" cy="506186"/>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a:t>
          </a:r>
        </a:p>
      </xdr:txBody>
    </xdr:sp>
    <xdr:clientData/>
  </xdr:twoCellAnchor>
  <xdr:twoCellAnchor>
    <xdr:from>
      <xdr:col>7</xdr:col>
      <xdr:colOff>8466</xdr:colOff>
      <xdr:row>16</xdr:row>
      <xdr:rowOff>160866</xdr:rowOff>
    </xdr:from>
    <xdr:to>
      <xdr:col>9</xdr:col>
      <xdr:colOff>601132</xdr:colOff>
      <xdr:row>19</xdr:row>
      <xdr:rowOff>122766</xdr:rowOff>
    </xdr:to>
    <xdr:sp macro="" textlink="">
      <xdr:nvSpPr>
        <xdr:cNvPr id="15" name="Rectangle: Rounded Corners 14">
          <a:extLst>
            <a:ext uri="{FF2B5EF4-FFF2-40B4-BE49-F238E27FC236}">
              <a16:creationId xmlns:a16="http://schemas.microsoft.com/office/drawing/2014/main" id="{6B571F20-F6C2-4364-ABCE-DAC81A20CCCB}"/>
            </a:ext>
          </a:extLst>
        </xdr:cNvPr>
        <xdr:cNvSpPr/>
      </xdr:nvSpPr>
      <xdr:spPr>
        <a:xfrm>
          <a:off x="4512733" y="3073399"/>
          <a:ext cx="1879599" cy="508000"/>
        </a:xfrm>
        <a:prstGeom prst="roundRect">
          <a:avLst/>
        </a:prstGeom>
        <a:solidFill>
          <a:schemeClr val="accent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aseline="0"/>
        </a:p>
      </xdr:txBody>
    </xdr:sp>
    <xdr:clientData/>
  </xdr:twoCellAnchor>
  <xdr:twoCellAnchor>
    <xdr:from>
      <xdr:col>7</xdr:col>
      <xdr:colOff>190501</xdr:colOff>
      <xdr:row>16</xdr:row>
      <xdr:rowOff>169332</xdr:rowOff>
    </xdr:from>
    <xdr:to>
      <xdr:col>9</xdr:col>
      <xdr:colOff>584202</xdr:colOff>
      <xdr:row>19</xdr:row>
      <xdr:rowOff>131232</xdr:rowOff>
    </xdr:to>
    <xdr:sp macro="" textlink="">
      <xdr:nvSpPr>
        <xdr:cNvPr id="16" name="Rectangle: Rounded Corners 15">
          <a:extLst>
            <a:ext uri="{FF2B5EF4-FFF2-40B4-BE49-F238E27FC236}">
              <a16:creationId xmlns:a16="http://schemas.microsoft.com/office/drawing/2014/main" id="{C6FAE476-6BFA-48EB-B4EE-B1DD97DD1070}"/>
            </a:ext>
          </a:extLst>
        </xdr:cNvPr>
        <xdr:cNvSpPr/>
      </xdr:nvSpPr>
      <xdr:spPr>
        <a:xfrm>
          <a:off x="4694768" y="3081865"/>
          <a:ext cx="1680634" cy="508000"/>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a:t>
          </a:r>
        </a:p>
      </xdr:txBody>
    </xdr:sp>
    <xdr:clientData/>
  </xdr:twoCellAnchor>
  <xdr:twoCellAnchor>
    <xdr:from>
      <xdr:col>3</xdr:col>
      <xdr:colOff>457200</xdr:colOff>
      <xdr:row>20</xdr:row>
      <xdr:rowOff>93133</xdr:rowOff>
    </xdr:from>
    <xdr:to>
      <xdr:col>10</xdr:col>
      <xdr:colOff>436032</xdr:colOff>
      <xdr:row>37</xdr:row>
      <xdr:rowOff>71967</xdr:rowOff>
    </xdr:to>
    <xdr:sp macro="" textlink="">
      <xdr:nvSpPr>
        <xdr:cNvPr id="17" name="Rectangle: Rounded Corners 16">
          <a:extLst>
            <a:ext uri="{FF2B5EF4-FFF2-40B4-BE49-F238E27FC236}">
              <a16:creationId xmlns:a16="http://schemas.microsoft.com/office/drawing/2014/main" id="{CBB8F64F-4AE4-4991-8C53-7D8874AE0838}"/>
            </a:ext>
          </a:extLst>
        </xdr:cNvPr>
        <xdr:cNvSpPr/>
      </xdr:nvSpPr>
      <xdr:spPr>
        <a:xfrm>
          <a:off x="2387600" y="3733800"/>
          <a:ext cx="4483099" cy="3073400"/>
        </a:xfrm>
        <a:prstGeom prst="roundRect">
          <a:avLst>
            <a:gd name="adj" fmla="val 491"/>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a:t>
          </a:r>
        </a:p>
      </xdr:txBody>
    </xdr:sp>
    <xdr:clientData/>
  </xdr:twoCellAnchor>
  <xdr:twoCellAnchor>
    <xdr:from>
      <xdr:col>10</xdr:col>
      <xdr:colOff>626534</xdr:colOff>
      <xdr:row>14</xdr:row>
      <xdr:rowOff>160867</xdr:rowOff>
    </xdr:from>
    <xdr:to>
      <xdr:col>17</xdr:col>
      <xdr:colOff>499533</xdr:colOff>
      <xdr:row>24</xdr:row>
      <xdr:rowOff>67734</xdr:rowOff>
    </xdr:to>
    <xdr:sp macro="" textlink="">
      <xdr:nvSpPr>
        <xdr:cNvPr id="18" name="Rectangle: Rounded Corners 17">
          <a:extLst>
            <a:ext uri="{FF2B5EF4-FFF2-40B4-BE49-F238E27FC236}">
              <a16:creationId xmlns:a16="http://schemas.microsoft.com/office/drawing/2014/main" id="{6B5BBB9E-A2A3-4C22-8AE4-70C3F9C497E7}"/>
            </a:ext>
          </a:extLst>
        </xdr:cNvPr>
        <xdr:cNvSpPr/>
      </xdr:nvSpPr>
      <xdr:spPr>
        <a:xfrm>
          <a:off x="7061201" y="2709334"/>
          <a:ext cx="4377265" cy="1727200"/>
        </a:xfrm>
        <a:prstGeom prst="roundRect">
          <a:avLst>
            <a:gd name="adj" fmla="val 491"/>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a:t>
          </a:r>
        </a:p>
      </xdr:txBody>
    </xdr:sp>
    <xdr:clientData/>
  </xdr:twoCellAnchor>
  <xdr:twoCellAnchor>
    <xdr:from>
      <xdr:col>11</xdr:col>
      <xdr:colOff>16934</xdr:colOff>
      <xdr:row>25</xdr:row>
      <xdr:rowOff>63502</xdr:rowOff>
    </xdr:from>
    <xdr:to>
      <xdr:col>17</xdr:col>
      <xdr:colOff>546100</xdr:colOff>
      <xdr:row>37</xdr:row>
      <xdr:rowOff>71968</xdr:rowOff>
    </xdr:to>
    <xdr:sp macro="" textlink="">
      <xdr:nvSpPr>
        <xdr:cNvPr id="19" name="Rectangle: Rounded Corners 18">
          <a:extLst>
            <a:ext uri="{FF2B5EF4-FFF2-40B4-BE49-F238E27FC236}">
              <a16:creationId xmlns:a16="http://schemas.microsoft.com/office/drawing/2014/main" id="{7A58944F-CA2E-4104-BA0C-3103031218C9}"/>
            </a:ext>
          </a:extLst>
        </xdr:cNvPr>
        <xdr:cNvSpPr/>
      </xdr:nvSpPr>
      <xdr:spPr>
        <a:xfrm>
          <a:off x="7095067" y="4614335"/>
          <a:ext cx="4389966" cy="2192866"/>
        </a:xfrm>
        <a:prstGeom prst="roundRect">
          <a:avLst>
            <a:gd name="adj" fmla="val 491"/>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a:t>
          </a:r>
        </a:p>
      </xdr:txBody>
    </xdr:sp>
    <xdr:clientData/>
  </xdr:twoCellAnchor>
  <xdr:twoCellAnchor>
    <xdr:from>
      <xdr:col>4</xdr:col>
      <xdr:colOff>279401</xdr:colOff>
      <xdr:row>14</xdr:row>
      <xdr:rowOff>71966</xdr:rowOff>
    </xdr:from>
    <xdr:to>
      <xdr:col>6</xdr:col>
      <xdr:colOff>127002</xdr:colOff>
      <xdr:row>15</xdr:row>
      <xdr:rowOff>110067</xdr:rowOff>
    </xdr:to>
    <xdr:sp macro="" textlink="">
      <xdr:nvSpPr>
        <xdr:cNvPr id="32" name="Rectangle 31">
          <a:extLst>
            <a:ext uri="{FF2B5EF4-FFF2-40B4-BE49-F238E27FC236}">
              <a16:creationId xmlns:a16="http://schemas.microsoft.com/office/drawing/2014/main" id="{831BA24A-28D5-4473-8619-E0159764D286}"/>
            </a:ext>
          </a:extLst>
        </xdr:cNvPr>
        <xdr:cNvSpPr/>
      </xdr:nvSpPr>
      <xdr:spPr>
        <a:xfrm>
          <a:off x="2853268" y="2620433"/>
          <a:ext cx="1134534" cy="22013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tx1"/>
              </a:solidFill>
            </a:rPr>
            <a:t>Data Analysis</a:t>
          </a:r>
        </a:p>
      </xdr:txBody>
    </xdr:sp>
    <xdr:clientData/>
  </xdr:twoCellAnchor>
  <xdr:twoCellAnchor>
    <xdr:from>
      <xdr:col>4</xdr:col>
      <xdr:colOff>351366</xdr:colOff>
      <xdr:row>16</xdr:row>
      <xdr:rowOff>169334</xdr:rowOff>
    </xdr:from>
    <xdr:to>
      <xdr:col>6</xdr:col>
      <xdr:colOff>131233</xdr:colOff>
      <xdr:row>18</xdr:row>
      <xdr:rowOff>50800</xdr:rowOff>
    </xdr:to>
    <xdr:sp macro="" textlink="">
      <xdr:nvSpPr>
        <xdr:cNvPr id="41" name="Rectangle 40">
          <a:extLst>
            <a:ext uri="{FF2B5EF4-FFF2-40B4-BE49-F238E27FC236}">
              <a16:creationId xmlns:a16="http://schemas.microsoft.com/office/drawing/2014/main" id="{0493E809-29F1-446E-9042-954E36985E73}"/>
            </a:ext>
          </a:extLst>
        </xdr:cNvPr>
        <xdr:cNvSpPr/>
      </xdr:nvSpPr>
      <xdr:spPr>
        <a:xfrm>
          <a:off x="2925233" y="3081867"/>
          <a:ext cx="1066800" cy="24553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tx1"/>
              </a:solidFill>
            </a:rPr>
            <a:t>Total Amount </a:t>
          </a:r>
          <a:r>
            <a:rPr lang="en-US" sz="1100"/>
            <a:t>Amouny</a:t>
          </a:r>
        </a:p>
      </xdr:txBody>
    </xdr:sp>
    <xdr:clientData/>
  </xdr:twoCellAnchor>
  <xdr:twoCellAnchor>
    <xdr:from>
      <xdr:col>7</xdr:col>
      <xdr:colOff>410633</xdr:colOff>
      <xdr:row>16</xdr:row>
      <xdr:rowOff>165099</xdr:rowOff>
    </xdr:from>
    <xdr:to>
      <xdr:col>9</xdr:col>
      <xdr:colOff>152400</xdr:colOff>
      <xdr:row>18</xdr:row>
      <xdr:rowOff>29631</xdr:rowOff>
    </xdr:to>
    <xdr:sp macro="" textlink="">
      <xdr:nvSpPr>
        <xdr:cNvPr id="42" name="Rectangle 41">
          <a:extLst>
            <a:ext uri="{FF2B5EF4-FFF2-40B4-BE49-F238E27FC236}">
              <a16:creationId xmlns:a16="http://schemas.microsoft.com/office/drawing/2014/main" id="{A0FF7A63-94E1-4F8B-8082-7A363E40140C}"/>
            </a:ext>
          </a:extLst>
        </xdr:cNvPr>
        <xdr:cNvSpPr/>
      </xdr:nvSpPr>
      <xdr:spPr>
        <a:xfrm>
          <a:off x="4914900" y="3077632"/>
          <a:ext cx="1028700" cy="22859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tx1"/>
              </a:solidFill>
            </a:rPr>
            <a:t>Total</a:t>
          </a:r>
          <a:r>
            <a:rPr lang="en-US" sz="1100" b="1" baseline="0">
              <a:solidFill>
                <a:schemeClr val="tx1"/>
              </a:solidFill>
            </a:rPr>
            <a:t> Sales</a:t>
          </a:r>
          <a:endParaRPr lang="en-US" sz="1100" b="1">
            <a:solidFill>
              <a:schemeClr val="tx1"/>
            </a:solidFill>
          </a:endParaRPr>
        </a:p>
      </xdr:txBody>
    </xdr:sp>
    <xdr:clientData/>
  </xdr:twoCellAnchor>
  <xdr:twoCellAnchor>
    <xdr:from>
      <xdr:col>11</xdr:col>
      <xdr:colOff>59266</xdr:colOff>
      <xdr:row>15</xdr:row>
      <xdr:rowOff>55034</xdr:rowOff>
    </xdr:from>
    <xdr:to>
      <xdr:col>12</xdr:col>
      <xdr:colOff>503766</xdr:colOff>
      <xdr:row>16</xdr:row>
      <xdr:rowOff>110067</xdr:rowOff>
    </xdr:to>
    <xdr:sp macro="" textlink="">
      <xdr:nvSpPr>
        <xdr:cNvPr id="43" name="Rectangle 42">
          <a:extLst>
            <a:ext uri="{FF2B5EF4-FFF2-40B4-BE49-F238E27FC236}">
              <a16:creationId xmlns:a16="http://schemas.microsoft.com/office/drawing/2014/main" id="{DF50C286-4C86-4378-9A2F-57EA50C5CD22}"/>
            </a:ext>
          </a:extLst>
        </xdr:cNvPr>
        <xdr:cNvSpPr/>
      </xdr:nvSpPr>
      <xdr:spPr>
        <a:xfrm>
          <a:off x="7137399" y="2785534"/>
          <a:ext cx="1087967" cy="23706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tx1"/>
              </a:solidFill>
            </a:rPr>
            <a:t>Regional Sales</a:t>
          </a:r>
        </a:p>
      </xdr:txBody>
    </xdr:sp>
    <xdr:clientData/>
  </xdr:twoCellAnchor>
  <xdr:twoCellAnchor>
    <xdr:from>
      <xdr:col>11</xdr:col>
      <xdr:colOff>105834</xdr:colOff>
      <xdr:row>25</xdr:row>
      <xdr:rowOff>139700</xdr:rowOff>
    </xdr:from>
    <xdr:to>
      <xdr:col>13</xdr:col>
      <xdr:colOff>266700</xdr:colOff>
      <xdr:row>27</xdr:row>
      <xdr:rowOff>16932</xdr:rowOff>
    </xdr:to>
    <xdr:sp macro="" textlink="">
      <xdr:nvSpPr>
        <xdr:cNvPr id="44" name="Rectangle 43">
          <a:extLst>
            <a:ext uri="{FF2B5EF4-FFF2-40B4-BE49-F238E27FC236}">
              <a16:creationId xmlns:a16="http://schemas.microsoft.com/office/drawing/2014/main" id="{B58DDE14-594B-4E77-A515-9D6E044D27D0}"/>
            </a:ext>
          </a:extLst>
        </xdr:cNvPr>
        <xdr:cNvSpPr/>
      </xdr:nvSpPr>
      <xdr:spPr>
        <a:xfrm>
          <a:off x="7183967" y="4690533"/>
          <a:ext cx="1447800" cy="24129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tx1"/>
              </a:solidFill>
            </a:rPr>
            <a:t>Monthly</a:t>
          </a:r>
          <a:r>
            <a:rPr lang="en-US" sz="1100" b="1" baseline="0">
              <a:solidFill>
                <a:schemeClr val="tx1"/>
              </a:solidFill>
            </a:rPr>
            <a:t> Sales Report</a:t>
          </a:r>
          <a:endParaRPr lang="en-US" sz="1100" b="1">
            <a:solidFill>
              <a:schemeClr val="tx1"/>
            </a:solidFill>
          </a:endParaRPr>
        </a:p>
      </xdr:txBody>
    </xdr:sp>
    <xdr:clientData/>
  </xdr:twoCellAnchor>
  <xdr:twoCellAnchor>
    <xdr:from>
      <xdr:col>3</xdr:col>
      <xdr:colOff>520700</xdr:colOff>
      <xdr:row>20</xdr:row>
      <xdr:rowOff>143933</xdr:rowOff>
    </xdr:from>
    <xdr:to>
      <xdr:col>5</xdr:col>
      <xdr:colOff>385233</xdr:colOff>
      <xdr:row>21</xdr:row>
      <xdr:rowOff>169333</xdr:rowOff>
    </xdr:to>
    <xdr:sp macro="" textlink="">
      <xdr:nvSpPr>
        <xdr:cNvPr id="45" name="Rectangle 44">
          <a:extLst>
            <a:ext uri="{FF2B5EF4-FFF2-40B4-BE49-F238E27FC236}">
              <a16:creationId xmlns:a16="http://schemas.microsoft.com/office/drawing/2014/main" id="{491EB091-A7CA-4754-8841-28F7B7C21C7D}"/>
            </a:ext>
          </a:extLst>
        </xdr:cNvPr>
        <xdr:cNvSpPr/>
      </xdr:nvSpPr>
      <xdr:spPr>
        <a:xfrm>
          <a:off x="2451100" y="3784600"/>
          <a:ext cx="1151466" cy="20743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tx1"/>
              </a:solidFill>
            </a:rPr>
            <a:t>Production Sales</a:t>
          </a:r>
        </a:p>
      </xdr:txBody>
    </xdr:sp>
    <xdr:clientData/>
  </xdr:twoCellAnchor>
  <xdr:twoCellAnchor>
    <xdr:from>
      <xdr:col>11</xdr:col>
      <xdr:colOff>135469</xdr:colOff>
      <xdr:row>16</xdr:row>
      <xdr:rowOff>93135</xdr:rowOff>
    </xdr:from>
    <xdr:to>
      <xdr:col>17</xdr:col>
      <xdr:colOff>156635</xdr:colOff>
      <xdr:row>24</xdr:row>
      <xdr:rowOff>38100</xdr:rowOff>
    </xdr:to>
    <xdr:graphicFrame macro="">
      <xdr:nvGraphicFramePr>
        <xdr:cNvPr id="46" name="Chart 45">
          <a:extLst>
            <a:ext uri="{FF2B5EF4-FFF2-40B4-BE49-F238E27FC236}">
              <a16:creationId xmlns:a16="http://schemas.microsoft.com/office/drawing/2014/main" id="{B520307F-46B5-4670-8918-25EE86AA5B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84667</xdr:colOff>
      <xdr:row>28</xdr:row>
      <xdr:rowOff>42335</xdr:rowOff>
    </xdr:from>
    <xdr:to>
      <xdr:col>17</xdr:col>
      <xdr:colOff>457201</xdr:colOff>
      <xdr:row>36</xdr:row>
      <xdr:rowOff>38100</xdr:rowOff>
    </xdr:to>
    <xdr:graphicFrame macro="">
      <xdr:nvGraphicFramePr>
        <xdr:cNvPr id="47" name="Chart 46">
          <a:extLst>
            <a:ext uri="{FF2B5EF4-FFF2-40B4-BE49-F238E27FC236}">
              <a16:creationId xmlns:a16="http://schemas.microsoft.com/office/drawing/2014/main" id="{D5814B9B-E098-4818-BD55-6B68F9D9BA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537634</xdr:colOff>
      <xdr:row>24</xdr:row>
      <xdr:rowOff>71967</xdr:rowOff>
    </xdr:from>
    <xdr:to>
      <xdr:col>10</xdr:col>
      <xdr:colOff>349250</xdr:colOff>
      <xdr:row>36</xdr:row>
      <xdr:rowOff>105833</xdr:rowOff>
    </xdr:to>
    <xdr:graphicFrame macro="">
      <xdr:nvGraphicFramePr>
        <xdr:cNvPr id="48" name="Chart 47">
          <a:extLst>
            <a:ext uri="{FF2B5EF4-FFF2-40B4-BE49-F238E27FC236}">
              <a16:creationId xmlns:a16="http://schemas.microsoft.com/office/drawing/2014/main" id="{180733B3-93FD-4186-8647-84641B0B6B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127001</xdr:colOff>
      <xdr:row>20</xdr:row>
      <xdr:rowOff>177800</xdr:rowOff>
    </xdr:from>
    <xdr:to>
      <xdr:col>9</xdr:col>
      <xdr:colOff>563034</xdr:colOff>
      <xdr:row>22</xdr:row>
      <xdr:rowOff>25401</xdr:rowOff>
    </xdr:to>
    <xdr:sp macro="" textlink="">
      <xdr:nvSpPr>
        <xdr:cNvPr id="51" name="Rectangle 50">
          <a:extLst>
            <a:ext uri="{FF2B5EF4-FFF2-40B4-BE49-F238E27FC236}">
              <a16:creationId xmlns:a16="http://schemas.microsoft.com/office/drawing/2014/main" id="{C3726AE5-8AF1-41F2-AD11-EC42BF956CB7}"/>
            </a:ext>
          </a:extLst>
        </xdr:cNvPr>
        <xdr:cNvSpPr/>
      </xdr:nvSpPr>
      <xdr:spPr>
        <a:xfrm>
          <a:off x="5274734" y="3818467"/>
          <a:ext cx="1079500" cy="21166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423334</xdr:colOff>
      <xdr:row>18</xdr:row>
      <xdr:rowOff>42333</xdr:rowOff>
    </xdr:from>
    <xdr:to>
      <xdr:col>6</xdr:col>
      <xdr:colOff>270935</xdr:colOff>
      <xdr:row>19</xdr:row>
      <xdr:rowOff>80434</xdr:rowOff>
    </xdr:to>
    <xdr:sp macro="" textlink="'pivot table'!N5">
      <xdr:nvSpPr>
        <xdr:cNvPr id="52" name="Rectangle 51">
          <a:extLst>
            <a:ext uri="{FF2B5EF4-FFF2-40B4-BE49-F238E27FC236}">
              <a16:creationId xmlns:a16="http://schemas.microsoft.com/office/drawing/2014/main" id="{681DF065-AA68-44A6-BB3A-D5CA1B8E3E5C}"/>
            </a:ext>
          </a:extLst>
        </xdr:cNvPr>
        <xdr:cNvSpPr/>
      </xdr:nvSpPr>
      <xdr:spPr>
        <a:xfrm>
          <a:off x="2997201" y="3318933"/>
          <a:ext cx="1134534" cy="22013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fld id="{7A9AE714-B1BE-47A5-87AE-CFBCD85AEB37}" type="TxLink">
            <a:rPr lang="en-US" sz="1100" b="1" i="0" u="none" strike="noStrike">
              <a:solidFill>
                <a:srgbClr val="00B0F0"/>
              </a:solidFill>
              <a:latin typeface="Calibri"/>
              <a:cs typeface="Calibri"/>
            </a:rPr>
            <a:pPr algn="l"/>
            <a:t>340,480</a:t>
          </a:fld>
          <a:endParaRPr lang="en-US" sz="1100" b="1">
            <a:solidFill>
              <a:srgbClr val="00B0F0"/>
            </a:solidFill>
          </a:endParaRPr>
        </a:p>
      </xdr:txBody>
    </xdr:sp>
    <xdr:clientData/>
  </xdr:twoCellAnchor>
  <xdr:twoCellAnchor>
    <xdr:from>
      <xdr:col>7</xdr:col>
      <xdr:colOff>588433</xdr:colOff>
      <xdr:row>18</xdr:row>
      <xdr:rowOff>12700</xdr:rowOff>
    </xdr:from>
    <xdr:to>
      <xdr:col>9</xdr:col>
      <xdr:colOff>330200</xdr:colOff>
      <xdr:row>19</xdr:row>
      <xdr:rowOff>59266</xdr:rowOff>
    </xdr:to>
    <xdr:sp macro="" textlink="'pivot table'!N8">
      <xdr:nvSpPr>
        <xdr:cNvPr id="53" name="Rectangle 52">
          <a:extLst>
            <a:ext uri="{FF2B5EF4-FFF2-40B4-BE49-F238E27FC236}">
              <a16:creationId xmlns:a16="http://schemas.microsoft.com/office/drawing/2014/main" id="{1FD37439-AF6F-44F0-BB1E-E38D01CC7A36}"/>
            </a:ext>
          </a:extLst>
        </xdr:cNvPr>
        <xdr:cNvSpPr/>
      </xdr:nvSpPr>
      <xdr:spPr>
        <a:xfrm>
          <a:off x="5092700" y="3289300"/>
          <a:ext cx="1028700" cy="22859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0376D921-AE5B-4FC8-B319-04AA885949C4}" type="TxLink">
            <a:rPr lang="en-US" sz="1100" b="1" i="0" u="none" strike="noStrike">
              <a:solidFill>
                <a:schemeClr val="accent6"/>
              </a:solidFill>
              <a:latin typeface="Calibri"/>
              <a:cs typeface="Calibri"/>
            </a:rPr>
            <a:pPr algn="l"/>
            <a:t>6</a:t>
          </a:fld>
          <a:endParaRPr lang="en-US" sz="1100" b="1">
            <a:solidFill>
              <a:schemeClr val="accent6"/>
            </a:solidFill>
          </a:endParaRPr>
        </a:p>
      </xdr:txBody>
    </xdr:sp>
    <xdr:clientData/>
  </xdr:twoCellAnchor>
  <xdr:twoCellAnchor editAs="oneCell">
    <xdr:from>
      <xdr:col>7</xdr:col>
      <xdr:colOff>175382</xdr:colOff>
      <xdr:row>17</xdr:row>
      <xdr:rowOff>66524</xdr:rowOff>
    </xdr:from>
    <xdr:to>
      <xdr:col>7</xdr:col>
      <xdr:colOff>635001</xdr:colOff>
      <xdr:row>19</xdr:row>
      <xdr:rowOff>163286</xdr:rowOff>
    </xdr:to>
    <xdr:pic>
      <xdr:nvPicPr>
        <xdr:cNvPr id="13" name="Graphic 12" descr="Business Growth with solid fill">
          <a:extLst>
            <a:ext uri="{FF2B5EF4-FFF2-40B4-BE49-F238E27FC236}">
              <a16:creationId xmlns:a16="http://schemas.microsoft.com/office/drawing/2014/main" id="{631983E9-A371-4282-9630-2C8D15B1763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4662715" y="3150810"/>
          <a:ext cx="459619" cy="459619"/>
        </a:xfrm>
        <a:prstGeom prst="rect">
          <a:avLst/>
        </a:prstGeom>
      </xdr:spPr>
    </xdr:pic>
    <xdr:clientData/>
  </xdr:twoCellAnchor>
  <xdr:twoCellAnchor editAs="oneCell">
    <xdr:from>
      <xdr:col>3</xdr:col>
      <xdr:colOff>549145</xdr:colOff>
      <xdr:row>13</xdr:row>
      <xdr:rowOff>95572</xdr:rowOff>
    </xdr:from>
    <xdr:to>
      <xdr:col>4</xdr:col>
      <xdr:colOff>368905</xdr:colOff>
      <xdr:row>16</xdr:row>
      <xdr:rowOff>12093</xdr:rowOff>
    </xdr:to>
    <xdr:pic>
      <xdr:nvPicPr>
        <xdr:cNvPr id="20" name="Graphic 19" descr="Document with solid fill">
          <a:extLst>
            <a:ext uri="{FF2B5EF4-FFF2-40B4-BE49-F238E27FC236}">
              <a16:creationId xmlns:a16="http://schemas.microsoft.com/office/drawing/2014/main" id="{49D9A076-990D-4C0F-831F-32BCD4A9101C}"/>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2472288" y="2454143"/>
          <a:ext cx="460807" cy="460807"/>
        </a:xfrm>
        <a:prstGeom prst="rect">
          <a:avLst/>
        </a:prstGeom>
      </xdr:spPr>
    </xdr:pic>
    <xdr:clientData/>
  </xdr:twoCellAnchor>
  <xdr:twoCellAnchor editAs="oneCell">
    <xdr:from>
      <xdr:col>3</xdr:col>
      <xdr:colOff>580572</xdr:colOff>
      <xdr:row>16</xdr:row>
      <xdr:rowOff>163286</xdr:rowOff>
    </xdr:from>
    <xdr:to>
      <xdr:col>4</xdr:col>
      <xdr:colOff>429382</xdr:colOff>
      <xdr:row>19</xdr:row>
      <xdr:rowOff>108857</xdr:rowOff>
    </xdr:to>
    <xdr:pic>
      <xdr:nvPicPr>
        <xdr:cNvPr id="22" name="Graphic 21" descr="Dollar with solid fill">
          <a:extLst>
            <a:ext uri="{FF2B5EF4-FFF2-40B4-BE49-F238E27FC236}">
              <a16:creationId xmlns:a16="http://schemas.microsoft.com/office/drawing/2014/main" id="{62CE60B3-9EB5-4BEE-BA76-5D104B998FC5}"/>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2503715" y="3066143"/>
          <a:ext cx="489857" cy="489857"/>
        </a:xfrm>
        <a:prstGeom prst="rect">
          <a:avLst/>
        </a:prstGeom>
      </xdr:spPr>
    </xdr:pic>
    <xdr:clientData/>
  </xdr:twoCellAnchor>
  <xdr:twoCellAnchor editAs="oneCell">
    <xdr:from>
      <xdr:col>6</xdr:col>
      <xdr:colOff>459619</xdr:colOff>
      <xdr:row>13</xdr:row>
      <xdr:rowOff>108858</xdr:rowOff>
    </xdr:from>
    <xdr:to>
      <xdr:col>7</xdr:col>
      <xdr:colOff>314476</xdr:colOff>
      <xdr:row>16</xdr:row>
      <xdr:rowOff>72572</xdr:rowOff>
    </xdr:to>
    <xdr:pic>
      <xdr:nvPicPr>
        <xdr:cNvPr id="24" name="Graphic 23" descr="Bar chart with solid fill">
          <a:extLst>
            <a:ext uri="{FF2B5EF4-FFF2-40B4-BE49-F238E27FC236}">
              <a16:creationId xmlns:a16="http://schemas.microsoft.com/office/drawing/2014/main" id="{9973EBEA-276B-4AA7-9A3C-D2CBC22C08D7}"/>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4305905" y="2467429"/>
          <a:ext cx="495904" cy="5080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72.415378124999" createdVersion="7" refreshedVersion="7" minRefreshableVersion="3" recordCount="50" xr:uid="{9D156FFF-ECCB-4A7C-BA28-54581AA0B36E}">
  <cacheSource type="worksheet">
    <worksheetSource ref="A1:H51" sheet="Sales Products"/>
  </cacheSource>
  <cacheFields count="8">
    <cacheField name="Num" numFmtId="0">
      <sharedItems containsSemiMixedTypes="0" containsString="0" containsNumber="1" containsInteger="1" minValue="1" maxValue="50"/>
    </cacheField>
    <cacheField name="Date" numFmtId="14">
      <sharedItems containsNonDate="0" containsDate="1" containsMixedTypes="1" minDate="2026-02-03T00:00:00" maxDate="2026-03-25T00:00:00" count="96">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s v="2026-02-19" u="1"/>
        <s v="2026-04-04" u="1"/>
        <s v="2026-01-22" u="1"/>
        <s v="2026-02-06" u="1"/>
        <s v="2026-05-18" u="1"/>
        <s v="2026-02-22" u="1"/>
        <s v="2026-04-19" u="1"/>
        <s v="2026-01-08" u="1"/>
        <s v="2026-05-19" u="1"/>
        <s v="2026-05-21" u="1"/>
        <s v="2026-01-24" u="1"/>
        <s v="2026-05-06" u="1"/>
        <s v="2026-03-23" u="1"/>
        <s v="2026-01-09" u="1"/>
        <s v="2026-02-24" u="1"/>
        <s v="2026-05-22" u="1"/>
        <s v="2026-03-24" u="1"/>
        <s v="2026-04-10" u="1"/>
        <s v="2026-03-09" u="1"/>
        <s v="2026-01-26" u="1"/>
        <s v="2026-04-24" u="1"/>
        <s v="2026-05-08" u="1"/>
        <s v="2026-03-25" u="1"/>
        <s v="2026-05-10" u="1"/>
        <s v="2026-01-27" u="1"/>
        <s v="2026-05-11" u="1"/>
        <s v="2026-04-12" u="1"/>
        <s v="2026-03-13" u="1"/>
        <s v="2026-01-30" u="1"/>
        <s v="2026-01-31" u="1"/>
        <s v="2026-05-13" u="1"/>
        <s v="2026-03-01" u="1"/>
        <s v="2026-05-27" u="1"/>
        <s v="2026-03-15" u="1"/>
        <s v="2026-04-01" u="1"/>
        <s v="2026-05-14" u="1"/>
        <s v="2026-01-17" u="1"/>
        <s v="2026-02-03" u="1"/>
        <s v="2026-05-01" u="1"/>
        <s v="2026-02-17" u="1"/>
        <s v="2026-03-03" u="1"/>
        <s v="2026-02-04" u="1"/>
        <s v="2026-01-05" u="1"/>
        <s v="2026-05-16" u="1"/>
        <s v="2026-03-04" u="1"/>
        <s v="2026-01-21" u="1"/>
      </sharedItems>
    </cacheField>
    <cacheField name="Customer" numFmtId="0">
      <sharedItems/>
    </cacheField>
    <cacheField name="Region" numFmtId="0">
      <sharedItems count="4">
        <s v="West"/>
        <s v="North"/>
        <s v="East"/>
        <s v="South"/>
      </sharedItems>
    </cacheField>
    <cacheField name="Item" numFmtId="0">
      <sharedItems count="10">
        <s v="Biscuit"/>
        <s v="Beans"/>
        <s v="Salt"/>
        <s v="Rice"/>
        <s v="Oil"/>
        <s v="Tea"/>
        <s v="Soap"/>
        <s v="Flour"/>
        <s v="Milk"/>
        <s v="Sugar"/>
      </sharedItems>
    </cacheField>
    <cacheField name="Quantity" numFmtId="0">
      <sharedItems containsSemiMixedTypes="0" containsString="0" containsNumber="1" containsInteger="1" minValue="1" maxValue="30"/>
    </cacheField>
    <cacheField name="Price" numFmtId="0">
      <sharedItems containsSemiMixedTypes="0" containsString="0" containsNumber="1" containsInteger="1" minValue="1546" maxValue="11804"/>
    </cacheField>
    <cacheField name="Amount" numFmtId="0">
      <sharedItems containsSemiMixedTypes="0" containsString="0" containsNumber="1" containsInteger="1" minValue="6609" maxValue="312098"/>
    </cacheField>
  </cacheFields>
  <extLst>
    <ext xmlns:x14="http://schemas.microsoft.com/office/spreadsheetml/2009/9/main" uri="{725AE2AE-9491-48be-B2B4-4EB974FC3084}">
      <x14:pivotCacheDefinition pivotCacheId="19815140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n v="1"/>
    <x v="0"/>
    <s v="Bright Ventures"/>
    <x v="0"/>
    <x v="0"/>
    <n v="24"/>
    <n v="11798"/>
    <n v="283152"/>
  </r>
  <r>
    <n v="2"/>
    <x v="1"/>
    <s v="John Traders"/>
    <x v="0"/>
    <x v="1"/>
    <n v="19"/>
    <n v="7521"/>
    <n v="142899"/>
  </r>
  <r>
    <n v="3"/>
    <x v="2"/>
    <s v="Bright Ventures"/>
    <x v="1"/>
    <x v="2"/>
    <n v="5"/>
    <n v="7156"/>
    <n v="35780"/>
  </r>
  <r>
    <n v="4"/>
    <x v="3"/>
    <s v="Ade Supermarket"/>
    <x v="2"/>
    <x v="3"/>
    <n v="30"/>
    <n v="8970"/>
    <n v="269100"/>
  </r>
  <r>
    <n v="5"/>
    <x v="4"/>
    <s v="Bright Ventures"/>
    <x v="0"/>
    <x v="2"/>
    <n v="5"/>
    <n v="7111"/>
    <n v="35555"/>
  </r>
  <r>
    <n v="6"/>
    <x v="5"/>
    <s v="Mega Shop"/>
    <x v="1"/>
    <x v="3"/>
    <n v="10"/>
    <n v="6590"/>
    <n v="65900"/>
  </r>
  <r>
    <n v="7"/>
    <x v="6"/>
    <s v="Prime Retail"/>
    <x v="2"/>
    <x v="2"/>
    <n v="15"/>
    <n v="6355"/>
    <n v="95325"/>
  </r>
  <r>
    <n v="8"/>
    <x v="7"/>
    <s v="Kemi Stores"/>
    <x v="0"/>
    <x v="4"/>
    <n v="16"/>
    <n v="4204"/>
    <n v="67264"/>
  </r>
  <r>
    <n v="9"/>
    <x v="8"/>
    <s v="City Wholesale"/>
    <x v="1"/>
    <x v="3"/>
    <n v="30"/>
    <n v="9070"/>
    <n v="272100"/>
  </r>
  <r>
    <n v="10"/>
    <x v="9"/>
    <s v="Global Mart"/>
    <x v="2"/>
    <x v="5"/>
    <n v="1"/>
    <n v="6982"/>
    <n v="6982"/>
  </r>
  <r>
    <n v="11"/>
    <x v="10"/>
    <s v="Mega Shop"/>
    <x v="3"/>
    <x v="2"/>
    <n v="15"/>
    <n v="10162"/>
    <n v="152430"/>
  </r>
  <r>
    <n v="12"/>
    <x v="11"/>
    <s v="Kemi Stores"/>
    <x v="1"/>
    <x v="6"/>
    <n v="19"/>
    <n v="7786"/>
    <n v="147934"/>
  </r>
  <r>
    <n v="13"/>
    <x v="12"/>
    <s v="Mega Shop"/>
    <x v="3"/>
    <x v="7"/>
    <n v="5"/>
    <n v="1546"/>
    <n v="7730"/>
  </r>
  <r>
    <n v="14"/>
    <x v="13"/>
    <s v="City Wholesale"/>
    <x v="2"/>
    <x v="6"/>
    <n v="23"/>
    <n v="11073"/>
    <n v="254679"/>
  </r>
  <r>
    <n v="15"/>
    <x v="14"/>
    <s v="Kemi Stores"/>
    <x v="0"/>
    <x v="6"/>
    <n v="28"/>
    <n v="7587"/>
    <n v="212436"/>
  </r>
  <r>
    <n v="16"/>
    <x v="15"/>
    <s v="John Traders"/>
    <x v="1"/>
    <x v="8"/>
    <n v="3"/>
    <n v="11804"/>
    <n v="35412"/>
  </r>
  <r>
    <n v="17"/>
    <x v="16"/>
    <s v="Mega Shop"/>
    <x v="1"/>
    <x v="2"/>
    <n v="1"/>
    <n v="8066"/>
    <n v="8066"/>
  </r>
  <r>
    <n v="18"/>
    <x v="17"/>
    <s v="Sunrise Market"/>
    <x v="0"/>
    <x v="7"/>
    <n v="3"/>
    <n v="2203"/>
    <n v="6609"/>
  </r>
  <r>
    <n v="19"/>
    <x v="18"/>
    <s v="Sunrise Market"/>
    <x v="3"/>
    <x v="6"/>
    <n v="6"/>
    <n v="10342"/>
    <n v="62052"/>
  </r>
  <r>
    <n v="20"/>
    <x v="19"/>
    <s v="Prime Retail"/>
    <x v="0"/>
    <x v="4"/>
    <n v="28"/>
    <n v="3717"/>
    <n v="104076"/>
  </r>
  <r>
    <n v="21"/>
    <x v="20"/>
    <s v="Global Mart"/>
    <x v="1"/>
    <x v="1"/>
    <n v="20"/>
    <n v="1784"/>
    <n v="35680"/>
  </r>
  <r>
    <n v="22"/>
    <x v="21"/>
    <s v="Elite Goods"/>
    <x v="2"/>
    <x v="8"/>
    <n v="22"/>
    <n v="5344"/>
    <n v="117568"/>
  </r>
  <r>
    <n v="23"/>
    <x v="22"/>
    <s v="Elite Goods"/>
    <x v="3"/>
    <x v="9"/>
    <n v="24"/>
    <n v="6781"/>
    <n v="162744"/>
  </r>
  <r>
    <n v="24"/>
    <x v="23"/>
    <s v="Ade Supermarket"/>
    <x v="0"/>
    <x v="0"/>
    <n v="1"/>
    <n v="10593"/>
    <n v="10593"/>
  </r>
  <r>
    <n v="25"/>
    <x v="24"/>
    <s v="Elite Goods"/>
    <x v="2"/>
    <x v="1"/>
    <n v="21"/>
    <n v="3995"/>
    <n v="83895"/>
  </r>
  <r>
    <n v="26"/>
    <x v="25"/>
    <s v="Bright Ventures"/>
    <x v="3"/>
    <x v="6"/>
    <n v="18"/>
    <n v="5106"/>
    <n v="91908"/>
  </r>
  <r>
    <n v="27"/>
    <x v="26"/>
    <s v="Global Mart"/>
    <x v="1"/>
    <x v="5"/>
    <n v="15"/>
    <n v="3378"/>
    <n v="50670"/>
  </r>
  <r>
    <n v="28"/>
    <x v="27"/>
    <s v="Bright Ventures"/>
    <x v="0"/>
    <x v="1"/>
    <n v="3"/>
    <n v="5141"/>
    <n v="15423"/>
  </r>
  <r>
    <n v="29"/>
    <x v="28"/>
    <s v="Kemi Stores"/>
    <x v="2"/>
    <x v="0"/>
    <n v="8"/>
    <n v="9537"/>
    <n v="76296"/>
  </r>
  <r>
    <n v="30"/>
    <x v="29"/>
    <s v="John Traders"/>
    <x v="2"/>
    <x v="9"/>
    <n v="25"/>
    <n v="11567"/>
    <n v="289175"/>
  </r>
  <r>
    <n v="31"/>
    <x v="30"/>
    <s v="Kemi Stores"/>
    <x v="0"/>
    <x v="2"/>
    <n v="2"/>
    <n v="6662"/>
    <n v="13324"/>
  </r>
  <r>
    <n v="32"/>
    <x v="31"/>
    <s v="Global Mart"/>
    <x v="3"/>
    <x v="5"/>
    <n v="12"/>
    <n v="2452"/>
    <n v="29424"/>
  </r>
  <r>
    <n v="33"/>
    <x v="32"/>
    <s v="Global Mart"/>
    <x v="0"/>
    <x v="8"/>
    <n v="16"/>
    <n v="7301"/>
    <n v="116816"/>
  </r>
  <r>
    <n v="34"/>
    <x v="33"/>
    <s v="Elite Goods"/>
    <x v="1"/>
    <x v="4"/>
    <n v="2"/>
    <n v="7876"/>
    <n v="15752"/>
  </r>
  <r>
    <n v="35"/>
    <x v="34"/>
    <s v="Elite Goods"/>
    <x v="2"/>
    <x v="5"/>
    <n v="24"/>
    <n v="4476"/>
    <n v="107424"/>
  </r>
  <r>
    <n v="36"/>
    <x v="35"/>
    <s v="John Traders"/>
    <x v="3"/>
    <x v="1"/>
    <n v="6"/>
    <n v="7729"/>
    <n v="46374"/>
  </r>
  <r>
    <n v="37"/>
    <x v="36"/>
    <s v="Global Mart"/>
    <x v="1"/>
    <x v="3"/>
    <n v="24"/>
    <n v="7619"/>
    <n v="182856"/>
  </r>
  <r>
    <n v="38"/>
    <x v="37"/>
    <s v="Prime Retail"/>
    <x v="3"/>
    <x v="4"/>
    <n v="18"/>
    <n v="8772"/>
    <n v="157896"/>
  </r>
  <r>
    <n v="39"/>
    <x v="38"/>
    <s v="Kemi Stores"/>
    <x v="1"/>
    <x v="7"/>
    <n v="5"/>
    <n v="10275"/>
    <n v="51375"/>
  </r>
  <r>
    <n v="40"/>
    <x v="39"/>
    <s v="Elite Goods"/>
    <x v="3"/>
    <x v="6"/>
    <n v="15"/>
    <n v="7267"/>
    <n v="109005"/>
  </r>
  <r>
    <n v="41"/>
    <x v="40"/>
    <s v="City Wholesale"/>
    <x v="1"/>
    <x v="5"/>
    <n v="5"/>
    <n v="10051"/>
    <n v="50255"/>
  </r>
  <r>
    <n v="42"/>
    <x v="41"/>
    <s v="Sunrise Market"/>
    <x v="1"/>
    <x v="8"/>
    <n v="8"/>
    <n v="8895"/>
    <n v="71160"/>
  </r>
  <r>
    <n v="43"/>
    <x v="42"/>
    <s v="Prime Retail"/>
    <x v="0"/>
    <x v="1"/>
    <n v="6"/>
    <n v="9056"/>
    <n v="54336"/>
  </r>
  <r>
    <n v="44"/>
    <x v="43"/>
    <s v="Global Mart"/>
    <x v="3"/>
    <x v="8"/>
    <n v="29"/>
    <n v="10762"/>
    <n v="312098"/>
  </r>
  <r>
    <n v="45"/>
    <x v="44"/>
    <s v="Prime Retail"/>
    <x v="3"/>
    <x v="0"/>
    <n v="22"/>
    <n v="2924"/>
    <n v="64328"/>
  </r>
  <r>
    <n v="46"/>
    <x v="45"/>
    <s v="Global Mart"/>
    <x v="0"/>
    <x v="5"/>
    <n v="14"/>
    <n v="11522"/>
    <n v="161308"/>
  </r>
  <r>
    <n v="47"/>
    <x v="46"/>
    <s v="Kemi Stores"/>
    <x v="1"/>
    <x v="6"/>
    <n v="5"/>
    <n v="8376"/>
    <n v="41880"/>
  </r>
  <r>
    <n v="48"/>
    <x v="47"/>
    <s v="Bright Ventures"/>
    <x v="2"/>
    <x v="6"/>
    <n v="8"/>
    <n v="5073"/>
    <n v="40584"/>
  </r>
  <r>
    <n v="49"/>
    <x v="48"/>
    <s v="Prime Retail"/>
    <x v="2"/>
    <x v="8"/>
    <n v="14"/>
    <n v="6172"/>
    <n v="86408"/>
  </r>
  <r>
    <n v="50"/>
    <x v="49"/>
    <s v="City Wholesale"/>
    <x v="2"/>
    <x v="0"/>
    <n v="26"/>
    <n v="2850"/>
    <n v="741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DE99370-FFCD-461E-A448-285093027C57}" name="PivotTable4"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C3:C5" firstHeaderRow="1" firstDataRow="1" firstDataCol="1"/>
  <pivotFields count="8">
    <pivotField showAll="0"/>
    <pivotField showAll="0">
      <items count="97">
        <item m="1" x="92"/>
        <item m="1" x="57"/>
        <item m="1" x="63"/>
        <item m="1" x="86"/>
        <item m="1" x="95"/>
        <item m="1" x="52"/>
        <item m="1" x="60"/>
        <item m="1" x="69"/>
        <item m="1" x="74"/>
        <item m="1" x="78"/>
        <item m="1" x="79"/>
        <item m="1" x="87"/>
        <item m="1" x="91"/>
        <item m="1" x="53"/>
        <item m="1" x="89"/>
        <item m="1" x="50"/>
        <item m="1" x="55"/>
        <item m="1" x="64"/>
        <item m="1" x="81"/>
        <item m="1" x="90"/>
        <item m="1" x="94"/>
        <item m="1" x="68"/>
        <item m="1" x="77"/>
        <item m="1" x="83"/>
        <item m="1" x="62"/>
        <item m="1" x="66"/>
        <item m="1" x="72"/>
        <item m="1" x="84"/>
        <item m="1" x="51"/>
        <item m="1" x="67"/>
        <item m="1" x="76"/>
        <item m="1" x="56"/>
        <item m="1" x="70"/>
        <item m="1" x="88"/>
        <item m="1" x="61"/>
        <item m="1" x="71"/>
        <item m="1" x="73"/>
        <item m="1" x="75"/>
        <item m="1" x="80"/>
        <item m="1" x="85"/>
        <item m="1" x="93"/>
        <item m="1" x="54"/>
        <item m="1" x="58"/>
        <item m="1" x="59"/>
        <item m="1" x="65"/>
        <item m="1" x="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items count="5">
        <item x="2"/>
        <item x="1"/>
        <item x="3"/>
        <item x="0"/>
        <item t="default"/>
      </items>
    </pivotField>
    <pivotField axis="axisRow" showAll="0">
      <items count="11">
        <item h="1" x="1"/>
        <item h="1" x="0"/>
        <item h="1" x="7"/>
        <item h="1" x="8"/>
        <item h="1" x="4"/>
        <item h="1" x="3"/>
        <item x="2"/>
        <item h="1" x="6"/>
        <item h="1" x="9"/>
        <item h="1" x="5"/>
        <item t="default"/>
      </items>
    </pivotField>
    <pivotField showAll="0"/>
    <pivotField showAll="0"/>
    <pivotField showAll="0"/>
  </pivotFields>
  <rowFields count="1">
    <field x="4"/>
  </rowFields>
  <rowItems count="2">
    <i>
      <x v="6"/>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AA6135C-0C06-4214-AE77-6AD828CFBCFE}" name="PivotTable1"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A3:A54" firstHeaderRow="1" firstDataRow="1" firstDataCol="1"/>
  <pivotFields count="8">
    <pivotField showAll="0"/>
    <pivotField axis="axisRow" showAll="0">
      <items count="97">
        <item m="1" x="92"/>
        <item m="1" x="57"/>
        <item m="1" x="63"/>
        <item m="1" x="86"/>
        <item m="1" x="95"/>
        <item m="1" x="52"/>
        <item m="1" x="60"/>
        <item m="1" x="69"/>
        <item m="1" x="74"/>
        <item m="1" x="78"/>
        <item m="1" x="79"/>
        <item m="1" x="87"/>
        <item m="1" x="91"/>
        <item m="1" x="53"/>
        <item m="1" x="89"/>
        <item m="1" x="50"/>
        <item m="1" x="55"/>
        <item m="1" x="64"/>
        <item m="1" x="81"/>
        <item m="1" x="90"/>
        <item m="1" x="94"/>
        <item m="1" x="68"/>
        <item m="1" x="77"/>
        <item m="1" x="83"/>
        <item m="1" x="62"/>
        <item m="1" x="66"/>
        <item m="1" x="72"/>
        <item m="1" x="84"/>
        <item m="1" x="51"/>
        <item m="1" x="67"/>
        <item m="1" x="76"/>
        <item m="1" x="56"/>
        <item m="1" x="70"/>
        <item m="1" x="88"/>
        <item m="1" x="61"/>
        <item m="1" x="71"/>
        <item m="1" x="73"/>
        <item m="1" x="75"/>
        <item m="1" x="80"/>
        <item m="1" x="85"/>
        <item m="1" x="93"/>
        <item m="1" x="54"/>
        <item m="1" x="58"/>
        <item m="1" x="59"/>
        <item m="1" x="65"/>
        <item m="1" x="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pivotField showAll="0"/>
    <pivotField showAll="0"/>
    <pivotField showAll="0"/>
    <pivotField showAll="0"/>
  </pivotFields>
  <rowFields count="1">
    <field x="1"/>
  </rowFields>
  <rowItems count="51">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667859B-4E76-481A-83D6-B55FECFA3949}" name="PivotTable11"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57">
  <location ref="M7:M8" firstHeaderRow="1" firstDataRow="1" firstDataCol="0"/>
  <pivotFields count="8">
    <pivotField showAll="0"/>
    <pivotField showAll="0">
      <items count="97">
        <item m="1" x="92"/>
        <item m="1" x="57"/>
        <item m="1" x="63"/>
        <item m="1" x="86"/>
        <item m="1" x="95"/>
        <item m="1" x="52"/>
        <item m="1" x="60"/>
        <item m="1" x="69"/>
        <item m="1" x="74"/>
        <item m="1" x="78"/>
        <item m="1" x="79"/>
        <item m="1" x="87"/>
        <item m="1" x="91"/>
        <item m="1" x="53"/>
        <item m="1" x="89"/>
        <item m="1" x="50"/>
        <item m="1" x="55"/>
        <item m="1" x="64"/>
        <item m="1" x="81"/>
        <item m="1" x="90"/>
        <item m="1" x="94"/>
        <item m="1" x="68"/>
        <item m="1" x="77"/>
        <item m="1" x="83"/>
        <item m="1" x="62"/>
        <item m="1" x="66"/>
        <item m="1" x="72"/>
        <item m="1" x="84"/>
        <item m="1" x="51"/>
        <item m="1" x="67"/>
        <item m="1" x="76"/>
        <item m="1" x="56"/>
        <item m="1" x="70"/>
        <item m="1" x="88"/>
        <item m="1" x="61"/>
        <item m="1" x="71"/>
        <item m="1" x="73"/>
        <item m="1" x="75"/>
        <item m="1" x="80"/>
        <item m="1" x="85"/>
        <item m="1" x="93"/>
        <item m="1" x="54"/>
        <item m="1" x="58"/>
        <item m="1" x="59"/>
        <item m="1" x="65"/>
        <item m="1" x="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items count="5">
        <item x="2"/>
        <item x="1"/>
        <item x="3"/>
        <item x="0"/>
        <item t="default"/>
      </items>
    </pivotField>
    <pivotField showAll="0">
      <items count="11">
        <item h="1" x="1"/>
        <item h="1" x="0"/>
        <item h="1" x="7"/>
        <item h="1" x="8"/>
        <item h="1" x="4"/>
        <item h="1" x="3"/>
        <item x="2"/>
        <item h="1" x="6"/>
        <item h="1" x="9"/>
        <item h="1" x="5"/>
        <item t="default"/>
      </items>
    </pivotField>
    <pivotField showAll="0"/>
    <pivotField showAll="0"/>
    <pivotField dataField="1" showAll="0"/>
  </pivotFields>
  <rowItems count="1">
    <i/>
  </rowItems>
  <colItems count="1">
    <i/>
  </colItems>
  <dataFields count="1">
    <dataField name="Count of Amount" fld="7" subtotal="count" baseField="0" baseItem="0"/>
  </dataFields>
  <chartFormats count="2">
    <chartFormat chart="53" format="0" series="1">
      <pivotArea type="data" outline="0" fieldPosition="0">
        <references count="1">
          <reference field="4294967294" count="1" selected="0">
            <x v="0"/>
          </reference>
        </references>
      </pivotArea>
    </chartFormat>
    <chartFormat chart="5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8ED8BA2-15A6-4A08-80B2-D93554780736}" name="PivotTable3"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B3:B8" firstHeaderRow="1" firstDataRow="1" firstDataCol="1"/>
  <pivotFields count="8">
    <pivotField showAll="0"/>
    <pivotField showAll="0">
      <items count="97">
        <item m="1" x="92"/>
        <item m="1" x="57"/>
        <item m="1" x="63"/>
        <item m="1" x="86"/>
        <item m="1" x="95"/>
        <item m="1" x="52"/>
        <item m="1" x="60"/>
        <item m="1" x="69"/>
        <item m="1" x="74"/>
        <item m="1" x="78"/>
        <item m="1" x="79"/>
        <item m="1" x="87"/>
        <item m="1" x="91"/>
        <item m="1" x="53"/>
        <item m="1" x="89"/>
        <item m="1" x="50"/>
        <item m="1" x="55"/>
        <item m="1" x="64"/>
        <item m="1" x="81"/>
        <item m="1" x="90"/>
        <item m="1" x="94"/>
        <item m="1" x="68"/>
        <item m="1" x="77"/>
        <item m="1" x="83"/>
        <item m="1" x="62"/>
        <item m="1" x="66"/>
        <item m="1" x="72"/>
        <item m="1" x="84"/>
        <item m="1" x="51"/>
        <item m="1" x="67"/>
        <item m="1" x="76"/>
        <item m="1" x="56"/>
        <item m="1" x="70"/>
        <item m="1" x="88"/>
        <item m="1" x="61"/>
        <item m="1" x="71"/>
        <item m="1" x="73"/>
        <item m="1" x="75"/>
        <item m="1" x="80"/>
        <item m="1" x="85"/>
        <item m="1" x="93"/>
        <item m="1" x="54"/>
        <item m="1" x="58"/>
        <item m="1" x="59"/>
        <item m="1" x="65"/>
        <item m="1" x="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axis="axisRow" showAll="0">
      <items count="5">
        <item x="2"/>
        <item x="1"/>
        <item x="3"/>
        <item x="0"/>
        <item t="default"/>
      </items>
    </pivotField>
    <pivotField showAll="0"/>
    <pivotField showAll="0"/>
    <pivotField showAll="0"/>
    <pivotField showAll="0"/>
  </pivotFields>
  <rowFields count="1">
    <field x="3"/>
  </rowFields>
  <rowItems count="5">
    <i>
      <x/>
    </i>
    <i>
      <x v="1"/>
    </i>
    <i>
      <x v="2"/>
    </i>
    <i>
      <x v="3"/>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990A306-35E5-47AB-9CFC-F13E5929FF16}" name="PivotTable9"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57">
  <location ref="J3:K5" firstHeaderRow="1" firstDataRow="1" firstDataCol="1"/>
  <pivotFields count="8">
    <pivotField showAll="0"/>
    <pivotField showAll="0">
      <items count="97">
        <item m="1" x="92"/>
        <item m="1" x="57"/>
        <item m="1" x="63"/>
        <item m="1" x="86"/>
        <item m="1" x="95"/>
        <item m="1" x="52"/>
        <item m="1" x="60"/>
        <item m="1" x="69"/>
        <item m="1" x="74"/>
        <item m="1" x="78"/>
        <item m="1" x="79"/>
        <item m="1" x="87"/>
        <item m="1" x="91"/>
        <item m="1" x="53"/>
        <item m="1" x="89"/>
        <item m="1" x="50"/>
        <item m="1" x="55"/>
        <item m="1" x="64"/>
        <item m="1" x="81"/>
        <item m="1" x="90"/>
        <item m="1" x="94"/>
        <item m="1" x="68"/>
        <item m="1" x="77"/>
        <item m="1" x="83"/>
        <item m="1" x="62"/>
        <item m="1" x="66"/>
        <item m="1" x="72"/>
        <item m="1" x="84"/>
        <item m="1" x="51"/>
        <item m="1" x="67"/>
        <item m="1" x="76"/>
        <item m="1" x="56"/>
        <item m="1" x="70"/>
        <item m="1" x="88"/>
        <item m="1" x="61"/>
        <item m="1" x="71"/>
        <item m="1" x="73"/>
        <item m="1" x="75"/>
        <item m="1" x="80"/>
        <item m="1" x="85"/>
        <item m="1" x="93"/>
        <item m="1" x="54"/>
        <item m="1" x="58"/>
        <item m="1" x="59"/>
        <item m="1" x="65"/>
        <item m="1" x="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items count="5">
        <item x="2"/>
        <item x="1"/>
        <item x="3"/>
        <item x="0"/>
        <item t="default"/>
      </items>
    </pivotField>
    <pivotField axis="axisRow" showAll="0">
      <items count="11">
        <item h="1" x="1"/>
        <item h="1" x="0"/>
        <item h="1" x="7"/>
        <item h="1" x="8"/>
        <item h="1" x="4"/>
        <item h="1" x="3"/>
        <item x="2"/>
        <item h="1" x="6"/>
        <item h="1" x="9"/>
        <item h="1" x="5"/>
        <item t="default"/>
      </items>
    </pivotField>
    <pivotField showAll="0"/>
    <pivotField showAll="0"/>
    <pivotField dataField="1" showAll="0"/>
  </pivotFields>
  <rowFields count="1">
    <field x="4"/>
  </rowFields>
  <rowItems count="2">
    <i>
      <x v="6"/>
    </i>
    <i t="grand">
      <x/>
    </i>
  </rowItems>
  <colItems count="1">
    <i/>
  </colItems>
  <dataFields count="1">
    <dataField name="Sum of Amount" fld="7" baseField="0" baseItem="0"/>
  </dataFields>
  <chartFormats count="2">
    <chartFormat chart="53" format="0" series="1">
      <pivotArea type="data" outline="0" fieldPosition="0">
        <references count="1">
          <reference field="4294967294" count="1" selected="0">
            <x v="0"/>
          </reference>
        </references>
      </pivotArea>
    </chartFormat>
    <chartFormat chart="5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CBB4A9F-E825-488A-BFCD-D022BE1E83A4}" name="PivotTable7"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49">
  <location ref="G3:H10" firstHeaderRow="1" firstDataRow="1" firstDataCol="1"/>
  <pivotFields count="8">
    <pivotField showAll="0"/>
    <pivotField axis="axisRow" showAll="0">
      <items count="97">
        <item m="1" x="92"/>
        <item m="1" x="57"/>
        <item m="1" x="63"/>
        <item m="1" x="86"/>
        <item m="1" x="95"/>
        <item m="1" x="52"/>
        <item m="1" x="60"/>
        <item m="1" x="69"/>
        <item m="1" x="74"/>
        <item m="1" x="78"/>
        <item m="1" x="79"/>
        <item m="1" x="87"/>
        <item m="1" x="91"/>
        <item m="1" x="53"/>
        <item m="1" x="89"/>
        <item m="1" x="50"/>
        <item m="1" x="55"/>
        <item m="1" x="64"/>
        <item m="1" x="81"/>
        <item m="1" x="90"/>
        <item m="1" x="94"/>
        <item m="1" x="68"/>
        <item m="1" x="77"/>
        <item m="1" x="83"/>
        <item m="1" x="62"/>
        <item m="1" x="66"/>
        <item m="1" x="72"/>
        <item m="1" x="84"/>
        <item m="1" x="51"/>
        <item m="1" x="67"/>
        <item m="1" x="76"/>
        <item m="1" x="56"/>
        <item m="1" x="70"/>
        <item m="1" x="88"/>
        <item m="1" x="61"/>
        <item m="1" x="71"/>
        <item m="1" x="73"/>
        <item m="1" x="75"/>
        <item m="1" x="80"/>
        <item m="1" x="85"/>
        <item m="1" x="93"/>
        <item m="1" x="54"/>
        <item m="1" x="58"/>
        <item m="1" x="59"/>
        <item m="1" x="65"/>
        <item m="1" x="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items count="5">
        <item x="2"/>
        <item x="1"/>
        <item x="3"/>
        <item x="0"/>
        <item t="default"/>
      </items>
    </pivotField>
    <pivotField showAll="0">
      <items count="11">
        <item h="1" x="1"/>
        <item h="1" x="0"/>
        <item h="1" x="7"/>
        <item h="1" x="8"/>
        <item h="1" x="4"/>
        <item h="1" x="3"/>
        <item x="2"/>
        <item h="1" x="6"/>
        <item h="1" x="9"/>
        <item h="1" x="5"/>
        <item t="default"/>
      </items>
    </pivotField>
    <pivotField showAll="0"/>
    <pivotField showAll="0"/>
    <pivotField dataField="1" showAll="0"/>
  </pivotFields>
  <rowFields count="1">
    <field x="1"/>
  </rowFields>
  <rowItems count="7">
    <i>
      <x v="48"/>
    </i>
    <i>
      <x v="50"/>
    </i>
    <i>
      <x v="52"/>
    </i>
    <i>
      <x v="56"/>
    </i>
    <i>
      <x v="62"/>
    </i>
    <i>
      <x v="76"/>
    </i>
    <i t="grand">
      <x/>
    </i>
  </rowItems>
  <colItems count="1">
    <i/>
  </colItems>
  <dataFields count="1">
    <dataField name="Sum of Amount" fld="7" baseField="0" baseItem="0"/>
  </dataFields>
  <chartFormats count="2">
    <chartFormat chart="45" format="0" series="1">
      <pivotArea type="data" outline="0" fieldPosition="0">
        <references count="1">
          <reference field="4294967294" count="1" selected="0">
            <x v="0"/>
          </reference>
        </references>
      </pivotArea>
    </chartFormat>
    <chartFormat chart="4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0919640-02E1-48CA-8CD5-75BF63DDCD5C}" name="PivotTable5"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20">
  <location ref="D3:E8" firstHeaderRow="1" firstDataRow="1" firstDataCol="1"/>
  <pivotFields count="8">
    <pivotField showAll="0"/>
    <pivotField showAll="0">
      <items count="97">
        <item m="1" x="92"/>
        <item m="1" x="57"/>
        <item m="1" x="63"/>
        <item m="1" x="86"/>
        <item m="1" x="95"/>
        <item m="1" x="52"/>
        <item m="1" x="60"/>
        <item m="1" x="69"/>
        <item m="1" x="74"/>
        <item m="1" x="78"/>
        <item m="1" x="79"/>
        <item m="1" x="87"/>
        <item m="1" x="91"/>
        <item m="1" x="53"/>
        <item m="1" x="89"/>
        <item m="1" x="50"/>
        <item m="1" x="55"/>
        <item m="1" x="64"/>
        <item m="1" x="81"/>
        <item m="1" x="90"/>
        <item m="1" x="94"/>
        <item m="1" x="68"/>
        <item m="1" x="77"/>
        <item m="1" x="83"/>
        <item m="1" x="62"/>
        <item m="1" x="66"/>
        <item m="1" x="72"/>
        <item m="1" x="84"/>
        <item m="1" x="51"/>
        <item m="1" x="67"/>
        <item m="1" x="76"/>
        <item m="1" x="56"/>
        <item m="1" x="70"/>
        <item m="1" x="88"/>
        <item m="1" x="61"/>
        <item m="1" x="71"/>
        <item m="1" x="73"/>
        <item m="1" x="75"/>
        <item m="1" x="80"/>
        <item m="1" x="85"/>
        <item m="1" x="93"/>
        <item m="1" x="54"/>
        <item m="1" x="58"/>
        <item m="1" x="59"/>
        <item m="1" x="65"/>
        <item m="1" x="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axis="axisRow" showAll="0">
      <items count="5">
        <item x="2"/>
        <item x="1"/>
        <item x="3"/>
        <item x="0"/>
        <item t="default"/>
      </items>
    </pivotField>
    <pivotField showAll="0">
      <items count="11">
        <item h="1" x="1"/>
        <item h="1" x="0"/>
        <item h="1" x="7"/>
        <item h="1" x="8"/>
        <item h="1" x="4"/>
        <item h="1" x="3"/>
        <item x="2"/>
        <item h="1" x="6"/>
        <item h="1" x="9"/>
        <item h="1" x="5"/>
        <item t="default"/>
      </items>
    </pivotField>
    <pivotField showAll="0"/>
    <pivotField showAll="0"/>
    <pivotField dataField="1" showAll="0"/>
  </pivotFields>
  <rowFields count="1">
    <field x="3"/>
  </rowFields>
  <rowItems count="5">
    <i>
      <x/>
    </i>
    <i>
      <x v="1"/>
    </i>
    <i>
      <x v="2"/>
    </i>
    <i>
      <x v="3"/>
    </i>
    <i t="grand">
      <x/>
    </i>
  </rowItems>
  <colItems count="1">
    <i/>
  </colItems>
  <dataFields count="1">
    <dataField name="Sum of Amount" fld="7" baseField="0" baseItem="0"/>
  </dataFields>
  <chartFormats count="2">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E5D6199-C78E-41B0-A802-23B233B70632}" name="PivotTable10"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57">
  <location ref="M4:M5" firstHeaderRow="1" firstDataRow="1" firstDataCol="0"/>
  <pivotFields count="8">
    <pivotField showAll="0"/>
    <pivotField showAll="0">
      <items count="97">
        <item m="1" x="92"/>
        <item m="1" x="57"/>
        <item m="1" x="63"/>
        <item m="1" x="86"/>
        <item m="1" x="95"/>
        <item m="1" x="52"/>
        <item m="1" x="60"/>
        <item m="1" x="69"/>
        <item m="1" x="74"/>
        <item m="1" x="78"/>
        <item m="1" x="79"/>
        <item m="1" x="87"/>
        <item m="1" x="91"/>
        <item m="1" x="53"/>
        <item m="1" x="89"/>
        <item m="1" x="50"/>
        <item m="1" x="55"/>
        <item m="1" x="64"/>
        <item m="1" x="81"/>
        <item m="1" x="90"/>
        <item m="1" x="94"/>
        <item m="1" x="68"/>
        <item m="1" x="77"/>
        <item m="1" x="83"/>
        <item m="1" x="62"/>
        <item m="1" x="66"/>
        <item m="1" x="72"/>
        <item m="1" x="84"/>
        <item m="1" x="51"/>
        <item m="1" x="67"/>
        <item m="1" x="76"/>
        <item m="1" x="56"/>
        <item m="1" x="70"/>
        <item m="1" x="88"/>
        <item m="1" x="61"/>
        <item m="1" x="71"/>
        <item m="1" x="73"/>
        <item m="1" x="75"/>
        <item m="1" x="80"/>
        <item m="1" x="85"/>
        <item m="1" x="93"/>
        <item m="1" x="54"/>
        <item m="1" x="58"/>
        <item m="1" x="59"/>
        <item m="1" x="65"/>
        <item m="1" x="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items count="5">
        <item x="2"/>
        <item x="1"/>
        <item x="3"/>
        <item x="0"/>
        <item t="default"/>
      </items>
    </pivotField>
    <pivotField showAll="0">
      <items count="11">
        <item h="1" x="1"/>
        <item h="1" x="0"/>
        <item h="1" x="7"/>
        <item h="1" x="8"/>
        <item h="1" x="4"/>
        <item h="1" x="3"/>
        <item x="2"/>
        <item h="1" x="6"/>
        <item h="1" x="9"/>
        <item h="1" x="5"/>
        <item t="default"/>
      </items>
    </pivotField>
    <pivotField showAll="0"/>
    <pivotField showAll="0"/>
    <pivotField dataField="1" showAll="0"/>
  </pivotFields>
  <rowItems count="1">
    <i/>
  </rowItems>
  <colItems count="1">
    <i/>
  </colItems>
  <dataFields count="1">
    <dataField name="Sum of Amount" fld="7" baseField="0" baseItem="0"/>
  </dataFields>
  <chartFormats count="2">
    <chartFormat chart="53" format="0" series="1">
      <pivotArea type="data" outline="0" fieldPosition="0">
        <references count="1">
          <reference field="4294967294" count="1" selected="0">
            <x v="0"/>
          </reference>
        </references>
      </pivotArea>
    </chartFormat>
    <chartFormat chart="5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2DBF8AB-CC7B-4209-ABDF-08C640F0AD80}" sourceName="Region">
  <pivotTables>
    <pivotTable tabId="3" name="PivotTable3"/>
    <pivotTable tabId="3" name="PivotTable4"/>
    <pivotTable tabId="3" name="PivotTable5"/>
    <pivotTable tabId="3" name="PivotTable7"/>
    <pivotTable tabId="3" name="PivotTable9"/>
    <pivotTable tabId="3" name="PivotTable10"/>
    <pivotTable tabId="3" name="PivotTable11"/>
  </pivotTables>
  <data>
    <tabular pivotCacheId="1981514087">
      <items count="4">
        <i x="2" s="1"/>
        <i x="1"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C189F105-203A-44A3-BF32-4DD84300554E}" sourceName="Item">
  <pivotTables>
    <pivotTable tabId="3" name="PivotTable4"/>
    <pivotTable tabId="3" name="PivotTable5"/>
    <pivotTable tabId="3" name="PivotTable7"/>
    <pivotTable tabId="3" name="PivotTable9"/>
    <pivotTable tabId="3" name="PivotTable10"/>
    <pivotTable tabId="3" name="PivotTable11"/>
  </pivotTables>
  <data>
    <tabular pivotCacheId="1981514087">
      <items count="10">
        <i x="1"/>
        <i x="0"/>
        <i x="7"/>
        <i x="8"/>
        <i x="4"/>
        <i x="3"/>
        <i x="2" s="1"/>
        <i x="6"/>
        <i x="9"/>
        <i x="5"/>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8981DBE-4FD0-4CE1-80A9-BBF51AB2749F}" cache="Slicer_Region" caption="Region" columnCount="2" rowHeight="237771"/>
  <slicer name="Item" xr10:uid="{AE0B568A-5112-44B7-97CC-429C57A49B91}" cache="Slicer_Item" caption="Item" columnCount="10" rowHeight="237771"/>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3E83C005-FD98-4002-9401-06355906ECD4}" cache="Slicer_Region" caption="Region" columnCount="2" style="SlicerStyleDark3" rowHeight="237771"/>
  <slicer name="Item 1" xr10:uid="{FC7D46A8-4F33-4820-A676-12882BFB4956}" cache="Slicer_Item" caption="Item" columnCount="10" style="SlicerStyleDark3" rowHeight="237771"/>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C0C49754-3B78-4A1D-9809-065E040F8D15}" sourceName="Date">
  <pivotTables>
    <pivotTable tabId="3" name="PivotTable1"/>
    <pivotTable tabId="3" name="PivotTable3"/>
    <pivotTable tabId="3" name="PivotTable4"/>
    <pivotTable tabId="3" name="PivotTable5"/>
    <pivotTable tabId="3" name="PivotTable7"/>
    <pivotTable tabId="3" name="PivotTable9"/>
    <pivotTable tabId="3" name="PivotTable10"/>
    <pivotTable tabId="3" name="PivotTable11"/>
  </pivotTables>
  <state minimalRefreshVersion="6" lastRefreshVersion="6" pivotCacheId="1981514087" filterType="dateBetween">
    <selection startDate="2026-10-01T00:00:00" endDate="2026-10-31T00:00:00"/>
    <bounds startDate="2026-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6815A577-8113-47BC-AF31-0FA23CD08CD2}" cache="NativeTimeline_Date" caption="Date" showSelectionLabel="0" showTimeLevel="0" showHorizontalScrollbar="0" level="2" selectionLevel="2" scrollPosition="2026-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839B3B8C-3896-4B6A-8FA5-F26C4B4DB482}" cache="NativeTimeline_Date" caption="Date" showSelectionLabel="0" showTimeLevel="0" showHorizontalScrollbar="0" level="2" selectionLevel="2" scrollPosition="2026-01-01T00:00:00" style="TimeSlicerStyleDark3"/>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11/relationships/timeline" Target="../timelines/timeline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microsoft.com/office/2011/relationships/timeline" Target="../timelines/timelin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A10D94-D466-4689-94FA-7CE2EA5DE2A6}">
  <sheetPr codeName="Sheet1"/>
  <dimension ref="A3:N54"/>
  <sheetViews>
    <sheetView workbookViewId="0">
      <selection activeCell="N9" sqref="N9"/>
    </sheetView>
  </sheetViews>
  <sheetFormatPr defaultRowHeight="15" x14ac:dyDescent="0.25"/>
  <cols>
    <col min="1" max="4" width="13.140625" bestFit="1" customWidth="1"/>
    <col min="5" max="5" width="14.85546875" bestFit="1" customWidth="1"/>
    <col min="7" max="7" width="13.140625" bestFit="1" customWidth="1"/>
    <col min="8" max="8" width="14.85546875" bestFit="1" customWidth="1"/>
    <col min="10" max="10" width="13.140625" bestFit="1" customWidth="1"/>
    <col min="11" max="11" width="14.85546875" bestFit="1" customWidth="1"/>
    <col min="13" max="13" width="16.28515625" bestFit="1" customWidth="1"/>
    <col min="14" max="14" width="13.42578125" bestFit="1" customWidth="1"/>
  </cols>
  <sheetData>
    <row r="3" spans="1:14" x14ac:dyDescent="0.25">
      <c r="A3" s="2" t="s">
        <v>32</v>
      </c>
      <c r="B3" s="2" t="s">
        <v>32</v>
      </c>
      <c r="C3" s="2" t="s">
        <v>32</v>
      </c>
      <c r="D3" s="2" t="s">
        <v>32</v>
      </c>
      <c r="E3" t="s">
        <v>34</v>
      </c>
      <c r="G3" s="2" t="s">
        <v>32</v>
      </c>
      <c r="H3" t="s">
        <v>34</v>
      </c>
      <c r="J3" s="2" t="s">
        <v>32</v>
      </c>
      <c r="K3" t="s">
        <v>34</v>
      </c>
    </row>
    <row r="4" spans="1:14" x14ac:dyDescent="0.25">
      <c r="A4" s="7">
        <v>46056</v>
      </c>
      <c r="B4" s="3" t="s">
        <v>16</v>
      </c>
      <c r="C4" s="3" t="s">
        <v>14</v>
      </c>
      <c r="D4" s="3" t="s">
        <v>16</v>
      </c>
      <c r="E4" s="9">
        <v>95325</v>
      </c>
      <c r="G4" s="7">
        <v>46058</v>
      </c>
      <c r="H4" s="9">
        <v>35780</v>
      </c>
      <c r="J4" s="3" t="s">
        <v>14</v>
      </c>
      <c r="K4" s="9">
        <v>340480</v>
      </c>
      <c r="M4" t="s">
        <v>34</v>
      </c>
    </row>
    <row r="5" spans="1:14" x14ac:dyDescent="0.25">
      <c r="A5" s="7">
        <v>46057</v>
      </c>
      <c r="B5" s="3" t="s">
        <v>13</v>
      </c>
      <c r="C5" s="3" t="s">
        <v>33</v>
      </c>
      <c r="D5" s="3" t="s">
        <v>13</v>
      </c>
      <c r="E5" s="9">
        <v>43846</v>
      </c>
      <c r="G5" s="7">
        <v>46060</v>
      </c>
      <c r="H5" s="9">
        <v>35555</v>
      </c>
      <c r="J5" s="3" t="s">
        <v>33</v>
      </c>
      <c r="K5" s="9">
        <v>340480</v>
      </c>
      <c r="M5" s="9">
        <v>340480</v>
      </c>
      <c r="N5" s="10">
        <f>GETPIVOTDATA("Amount",$M$4)</f>
        <v>340480</v>
      </c>
    </row>
    <row r="6" spans="1:14" x14ac:dyDescent="0.25">
      <c r="A6" s="7">
        <v>46058</v>
      </c>
      <c r="B6" s="3" t="s">
        <v>25</v>
      </c>
      <c r="D6" s="3" t="s">
        <v>25</v>
      </c>
      <c r="E6" s="9">
        <v>152430</v>
      </c>
      <c r="G6" s="7">
        <v>46062</v>
      </c>
      <c r="H6" s="9">
        <v>95325</v>
      </c>
      <c r="N6" s="10"/>
    </row>
    <row r="7" spans="1:14" x14ac:dyDescent="0.25">
      <c r="A7" s="7">
        <v>46059</v>
      </c>
      <c r="B7" s="3" t="s">
        <v>9</v>
      </c>
      <c r="D7" s="3" t="s">
        <v>9</v>
      </c>
      <c r="E7" s="9">
        <v>48879</v>
      </c>
      <c r="G7" s="7">
        <v>46066</v>
      </c>
      <c r="H7" s="9">
        <v>152430</v>
      </c>
      <c r="M7" t="s">
        <v>35</v>
      </c>
    </row>
    <row r="8" spans="1:14" x14ac:dyDescent="0.25">
      <c r="A8" s="7">
        <v>46060</v>
      </c>
      <c r="B8" s="3" t="s">
        <v>33</v>
      </c>
      <c r="D8" s="3" t="s">
        <v>33</v>
      </c>
      <c r="E8" s="9">
        <v>340480</v>
      </c>
      <c r="G8" s="7">
        <v>46072</v>
      </c>
      <c r="H8" s="9">
        <v>8066</v>
      </c>
      <c r="M8" s="9">
        <v>6</v>
      </c>
      <c r="N8">
        <f>GETPIVOTDATA("Amount",$M$7)</f>
        <v>6</v>
      </c>
    </row>
    <row r="9" spans="1:14" x14ac:dyDescent="0.25">
      <c r="A9" s="7">
        <v>46061</v>
      </c>
      <c r="G9" s="7">
        <v>46086</v>
      </c>
      <c r="H9" s="9">
        <v>13324</v>
      </c>
    </row>
    <row r="10" spans="1:14" x14ac:dyDescent="0.25">
      <c r="A10" s="7">
        <v>46062</v>
      </c>
      <c r="G10" s="3" t="s">
        <v>33</v>
      </c>
      <c r="H10" s="9">
        <v>340480</v>
      </c>
    </row>
    <row r="11" spans="1:14" x14ac:dyDescent="0.25">
      <c r="A11" s="7">
        <v>46063</v>
      </c>
    </row>
    <row r="12" spans="1:14" x14ac:dyDescent="0.25">
      <c r="A12" s="7">
        <v>46064</v>
      </c>
    </row>
    <row r="13" spans="1:14" x14ac:dyDescent="0.25">
      <c r="A13" s="7">
        <v>46065</v>
      </c>
    </row>
    <row r="14" spans="1:14" x14ac:dyDescent="0.25">
      <c r="A14" s="7">
        <v>46066</v>
      </c>
    </row>
    <row r="15" spans="1:14" x14ac:dyDescent="0.25">
      <c r="A15" s="7">
        <v>46067</v>
      </c>
    </row>
    <row r="16" spans="1:14" x14ac:dyDescent="0.25">
      <c r="A16" s="7">
        <v>46068</v>
      </c>
    </row>
    <row r="17" spans="1:1" x14ac:dyDescent="0.25">
      <c r="A17" s="7">
        <v>46069</v>
      </c>
    </row>
    <row r="18" spans="1:1" x14ac:dyDescent="0.25">
      <c r="A18" s="7">
        <v>46070</v>
      </c>
    </row>
    <row r="19" spans="1:1" x14ac:dyDescent="0.25">
      <c r="A19" s="7">
        <v>46071</v>
      </c>
    </row>
    <row r="20" spans="1:1" x14ac:dyDescent="0.25">
      <c r="A20" s="7">
        <v>46072</v>
      </c>
    </row>
    <row r="21" spans="1:1" x14ac:dyDescent="0.25">
      <c r="A21" s="7">
        <v>46073</v>
      </c>
    </row>
    <row r="22" spans="1:1" x14ac:dyDescent="0.25">
      <c r="A22" s="7">
        <v>46074</v>
      </c>
    </row>
    <row r="23" spans="1:1" x14ac:dyDescent="0.25">
      <c r="A23" s="7">
        <v>46075</v>
      </c>
    </row>
    <row r="24" spans="1:1" x14ac:dyDescent="0.25">
      <c r="A24" s="7">
        <v>46076</v>
      </c>
    </row>
    <row r="25" spans="1:1" x14ac:dyDescent="0.25">
      <c r="A25" s="7">
        <v>46077</v>
      </c>
    </row>
    <row r="26" spans="1:1" x14ac:dyDescent="0.25">
      <c r="A26" s="7">
        <v>46078</v>
      </c>
    </row>
    <row r="27" spans="1:1" x14ac:dyDescent="0.25">
      <c r="A27" s="7">
        <v>46079</v>
      </c>
    </row>
    <row r="28" spans="1:1" x14ac:dyDescent="0.25">
      <c r="A28" s="7">
        <v>46080</v>
      </c>
    </row>
    <row r="29" spans="1:1" x14ac:dyDescent="0.25">
      <c r="A29" s="7">
        <v>46081</v>
      </c>
    </row>
    <row r="30" spans="1:1" x14ac:dyDescent="0.25">
      <c r="A30" s="7">
        <v>46082</v>
      </c>
    </row>
    <row r="31" spans="1:1" x14ac:dyDescent="0.25">
      <c r="A31" s="7">
        <v>46083</v>
      </c>
    </row>
    <row r="32" spans="1:1" x14ac:dyDescent="0.25">
      <c r="A32" s="7">
        <v>46084</v>
      </c>
    </row>
    <row r="33" spans="1:1" x14ac:dyDescent="0.25">
      <c r="A33" s="7">
        <v>46085</v>
      </c>
    </row>
    <row r="34" spans="1:1" x14ac:dyDescent="0.25">
      <c r="A34" s="7">
        <v>46086</v>
      </c>
    </row>
    <row r="35" spans="1:1" x14ac:dyDescent="0.25">
      <c r="A35" s="7">
        <v>46087</v>
      </c>
    </row>
    <row r="36" spans="1:1" x14ac:dyDescent="0.25">
      <c r="A36" s="7">
        <v>46088</v>
      </c>
    </row>
    <row r="37" spans="1:1" x14ac:dyDescent="0.25">
      <c r="A37" s="7">
        <v>46089</v>
      </c>
    </row>
    <row r="38" spans="1:1" x14ac:dyDescent="0.25">
      <c r="A38" s="7">
        <v>46090</v>
      </c>
    </row>
    <row r="39" spans="1:1" x14ac:dyDescent="0.25">
      <c r="A39" s="7">
        <v>46091</v>
      </c>
    </row>
    <row r="40" spans="1:1" x14ac:dyDescent="0.25">
      <c r="A40" s="7">
        <v>46092</v>
      </c>
    </row>
    <row r="41" spans="1:1" x14ac:dyDescent="0.25">
      <c r="A41" s="7">
        <v>46093</v>
      </c>
    </row>
    <row r="42" spans="1:1" x14ac:dyDescent="0.25">
      <c r="A42" s="7">
        <v>46094</v>
      </c>
    </row>
    <row r="43" spans="1:1" x14ac:dyDescent="0.25">
      <c r="A43" s="7">
        <v>46095</v>
      </c>
    </row>
    <row r="44" spans="1:1" x14ac:dyDescent="0.25">
      <c r="A44" s="7">
        <v>46096</v>
      </c>
    </row>
    <row r="45" spans="1:1" x14ac:dyDescent="0.25">
      <c r="A45" s="7">
        <v>46097</v>
      </c>
    </row>
    <row r="46" spans="1:1" x14ac:dyDescent="0.25">
      <c r="A46" s="7">
        <v>46098</v>
      </c>
    </row>
    <row r="47" spans="1:1" x14ac:dyDescent="0.25">
      <c r="A47" s="7">
        <v>46099</v>
      </c>
    </row>
    <row r="48" spans="1:1" x14ac:dyDescent="0.25">
      <c r="A48" s="7">
        <v>46100</v>
      </c>
    </row>
    <row r="49" spans="1:1" x14ac:dyDescent="0.25">
      <c r="A49" s="7">
        <v>46101</v>
      </c>
    </row>
    <row r="50" spans="1:1" x14ac:dyDescent="0.25">
      <c r="A50" s="7">
        <v>46102</v>
      </c>
    </row>
    <row r="51" spans="1:1" x14ac:dyDescent="0.25">
      <c r="A51" s="7">
        <v>46103</v>
      </c>
    </row>
    <row r="52" spans="1:1" x14ac:dyDescent="0.25">
      <c r="A52" s="7">
        <v>46104</v>
      </c>
    </row>
    <row r="53" spans="1:1" x14ac:dyDescent="0.25">
      <c r="A53" s="7">
        <v>46105</v>
      </c>
    </row>
    <row r="54" spans="1:1" x14ac:dyDescent="0.25">
      <c r="A54" s="3" t="s">
        <v>33</v>
      </c>
    </row>
  </sheetData>
  <pageMargins left="0.7" right="0.7" top="0.75" bottom="0.75" header="0.3" footer="0.3"/>
  <pageSetup orientation="portrait" r:id="rId9"/>
  <drawing r:id="rId10"/>
  <extLst>
    <ext xmlns:x14="http://schemas.microsoft.com/office/spreadsheetml/2009/9/main" uri="{A8765BA9-456A-4dab-B4F3-ACF838C121DE}">
      <x14:slicerList>
        <x14:slicer r:id="rId11"/>
      </x14:slicerList>
    </ext>
    <ext xmlns:x15="http://schemas.microsoft.com/office/spreadsheetml/2010/11/main" uri="{7E03D99C-DC04-49d9-9315-930204A7B6E9}">
      <x15:timelineRefs>
        <x15:timelineRef r:id="rId12"/>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H51"/>
  <sheetViews>
    <sheetView workbookViewId="0">
      <selection activeCell="J20" sqref="J20"/>
    </sheetView>
  </sheetViews>
  <sheetFormatPr defaultRowHeight="15" x14ac:dyDescent="0.25"/>
  <cols>
    <col min="2" max="2" width="10" style="5" bestFit="1" customWidth="1"/>
  </cols>
  <sheetData>
    <row r="1" spans="1:8" x14ac:dyDescent="0.25">
      <c r="A1" s="1" t="s">
        <v>0</v>
      </c>
      <c r="B1" s="4" t="s">
        <v>1</v>
      </c>
      <c r="C1" s="1" t="s">
        <v>2</v>
      </c>
      <c r="D1" s="1" t="s">
        <v>3</v>
      </c>
      <c r="E1" s="1" t="s">
        <v>4</v>
      </c>
      <c r="F1" s="1" t="s">
        <v>5</v>
      </c>
      <c r="G1" s="1" t="s">
        <v>6</v>
      </c>
      <c r="H1" s="1" t="s">
        <v>7</v>
      </c>
    </row>
    <row r="2" spans="1:8" x14ac:dyDescent="0.25">
      <c r="A2">
        <v>1</v>
      </c>
      <c r="B2" s="6">
        <v>46056</v>
      </c>
      <c r="C2" t="s">
        <v>8</v>
      </c>
      <c r="D2" t="s">
        <v>9</v>
      </c>
      <c r="E2" t="s">
        <v>10</v>
      </c>
      <c r="F2">
        <v>24</v>
      </c>
      <c r="G2">
        <v>11798</v>
      </c>
      <c r="H2">
        <v>283152</v>
      </c>
    </row>
    <row r="3" spans="1:8" x14ac:dyDescent="0.25">
      <c r="A3">
        <v>2</v>
      </c>
      <c r="B3" s="6">
        <v>46057</v>
      </c>
      <c r="C3" t="s">
        <v>11</v>
      </c>
      <c r="D3" t="s">
        <v>9</v>
      </c>
      <c r="E3" t="s">
        <v>12</v>
      </c>
      <c r="F3">
        <v>19</v>
      </c>
      <c r="G3">
        <v>7521</v>
      </c>
      <c r="H3">
        <v>142899</v>
      </c>
    </row>
    <row r="4" spans="1:8" x14ac:dyDescent="0.25">
      <c r="A4">
        <v>3</v>
      </c>
      <c r="B4" s="6">
        <v>46058</v>
      </c>
      <c r="C4" t="s">
        <v>8</v>
      </c>
      <c r="D4" t="s">
        <v>13</v>
      </c>
      <c r="E4" t="s">
        <v>14</v>
      </c>
      <c r="F4">
        <v>5</v>
      </c>
      <c r="G4">
        <v>7156</v>
      </c>
      <c r="H4">
        <v>35780</v>
      </c>
    </row>
    <row r="5" spans="1:8" x14ac:dyDescent="0.25">
      <c r="A5">
        <v>4</v>
      </c>
      <c r="B5" s="6">
        <v>46059</v>
      </c>
      <c r="C5" t="s">
        <v>15</v>
      </c>
      <c r="D5" t="s">
        <v>16</v>
      </c>
      <c r="E5" t="s">
        <v>17</v>
      </c>
      <c r="F5">
        <v>30</v>
      </c>
      <c r="G5">
        <v>8970</v>
      </c>
      <c r="H5">
        <v>269100</v>
      </c>
    </row>
    <row r="6" spans="1:8" x14ac:dyDescent="0.25">
      <c r="A6">
        <v>5</v>
      </c>
      <c r="B6" s="6">
        <v>46060</v>
      </c>
      <c r="C6" t="s">
        <v>8</v>
      </c>
      <c r="D6" t="s">
        <v>9</v>
      </c>
      <c r="E6" t="s">
        <v>14</v>
      </c>
      <c r="F6">
        <v>5</v>
      </c>
      <c r="G6">
        <v>7111</v>
      </c>
      <c r="H6">
        <v>35555</v>
      </c>
    </row>
    <row r="7" spans="1:8" x14ac:dyDescent="0.25">
      <c r="A7">
        <v>6</v>
      </c>
      <c r="B7" s="6">
        <v>46061</v>
      </c>
      <c r="C7" t="s">
        <v>18</v>
      </c>
      <c r="D7" t="s">
        <v>13</v>
      </c>
      <c r="E7" t="s">
        <v>17</v>
      </c>
      <c r="F7">
        <v>10</v>
      </c>
      <c r="G7">
        <v>6590</v>
      </c>
      <c r="H7">
        <v>65900</v>
      </c>
    </row>
    <row r="8" spans="1:8" x14ac:dyDescent="0.25">
      <c r="A8">
        <v>7</v>
      </c>
      <c r="B8" s="6">
        <v>46062</v>
      </c>
      <c r="C8" t="s">
        <v>19</v>
      </c>
      <c r="D8" t="s">
        <v>16</v>
      </c>
      <c r="E8" t="s">
        <v>14</v>
      </c>
      <c r="F8">
        <v>15</v>
      </c>
      <c r="G8">
        <v>6355</v>
      </c>
      <c r="H8">
        <v>95325</v>
      </c>
    </row>
    <row r="9" spans="1:8" x14ac:dyDescent="0.25">
      <c r="A9">
        <v>8</v>
      </c>
      <c r="B9" s="6">
        <v>46063</v>
      </c>
      <c r="C9" t="s">
        <v>20</v>
      </c>
      <c r="D9" t="s">
        <v>9</v>
      </c>
      <c r="E9" t="s">
        <v>21</v>
      </c>
      <c r="F9">
        <v>16</v>
      </c>
      <c r="G9">
        <v>4204</v>
      </c>
      <c r="H9">
        <v>67264</v>
      </c>
    </row>
    <row r="10" spans="1:8" x14ac:dyDescent="0.25">
      <c r="A10">
        <v>9</v>
      </c>
      <c r="B10" s="6">
        <v>46064</v>
      </c>
      <c r="C10" t="s">
        <v>22</v>
      </c>
      <c r="D10" t="s">
        <v>13</v>
      </c>
      <c r="E10" t="s">
        <v>17</v>
      </c>
      <c r="F10">
        <v>30</v>
      </c>
      <c r="G10">
        <v>9070</v>
      </c>
      <c r="H10">
        <v>272100</v>
      </c>
    </row>
    <row r="11" spans="1:8" x14ac:dyDescent="0.25">
      <c r="A11">
        <v>10</v>
      </c>
      <c r="B11" s="6">
        <v>46065</v>
      </c>
      <c r="C11" t="s">
        <v>23</v>
      </c>
      <c r="D11" t="s">
        <v>16</v>
      </c>
      <c r="E11" t="s">
        <v>24</v>
      </c>
      <c r="F11">
        <v>1</v>
      </c>
      <c r="G11">
        <v>6982</v>
      </c>
      <c r="H11">
        <v>6982</v>
      </c>
    </row>
    <row r="12" spans="1:8" x14ac:dyDescent="0.25">
      <c r="A12">
        <v>11</v>
      </c>
      <c r="B12" s="6">
        <v>46066</v>
      </c>
      <c r="C12" t="s">
        <v>18</v>
      </c>
      <c r="D12" t="s">
        <v>25</v>
      </c>
      <c r="E12" t="s">
        <v>14</v>
      </c>
      <c r="F12">
        <v>15</v>
      </c>
      <c r="G12">
        <v>10162</v>
      </c>
      <c r="H12">
        <v>152430</v>
      </c>
    </row>
    <row r="13" spans="1:8" x14ac:dyDescent="0.25">
      <c r="A13">
        <v>12</v>
      </c>
      <c r="B13" s="6">
        <v>46067</v>
      </c>
      <c r="C13" t="s">
        <v>20</v>
      </c>
      <c r="D13" t="s">
        <v>13</v>
      </c>
      <c r="E13" t="s">
        <v>26</v>
      </c>
      <c r="F13">
        <v>19</v>
      </c>
      <c r="G13">
        <v>7786</v>
      </c>
      <c r="H13">
        <v>147934</v>
      </c>
    </row>
    <row r="14" spans="1:8" x14ac:dyDescent="0.25">
      <c r="A14">
        <v>13</v>
      </c>
      <c r="B14" s="6">
        <v>46068</v>
      </c>
      <c r="C14" t="s">
        <v>18</v>
      </c>
      <c r="D14" t="s">
        <v>25</v>
      </c>
      <c r="E14" t="s">
        <v>27</v>
      </c>
      <c r="F14">
        <v>5</v>
      </c>
      <c r="G14">
        <v>1546</v>
      </c>
      <c r="H14">
        <v>7730</v>
      </c>
    </row>
    <row r="15" spans="1:8" x14ac:dyDescent="0.25">
      <c r="A15">
        <v>14</v>
      </c>
      <c r="B15" s="6">
        <v>46069</v>
      </c>
      <c r="C15" t="s">
        <v>22</v>
      </c>
      <c r="D15" t="s">
        <v>16</v>
      </c>
      <c r="E15" t="s">
        <v>26</v>
      </c>
      <c r="F15">
        <v>23</v>
      </c>
      <c r="G15">
        <v>11073</v>
      </c>
      <c r="H15">
        <v>254679</v>
      </c>
    </row>
    <row r="16" spans="1:8" x14ac:dyDescent="0.25">
      <c r="A16">
        <v>15</v>
      </c>
      <c r="B16" s="6">
        <v>46070</v>
      </c>
      <c r="C16" t="s">
        <v>20</v>
      </c>
      <c r="D16" t="s">
        <v>9</v>
      </c>
      <c r="E16" t="s">
        <v>26</v>
      </c>
      <c r="F16">
        <v>28</v>
      </c>
      <c r="G16">
        <v>7587</v>
      </c>
      <c r="H16">
        <v>212436</v>
      </c>
    </row>
    <row r="17" spans="1:8" x14ac:dyDescent="0.25">
      <c r="A17">
        <v>16</v>
      </c>
      <c r="B17" s="6">
        <v>46071</v>
      </c>
      <c r="C17" t="s">
        <v>11</v>
      </c>
      <c r="D17" t="s">
        <v>13</v>
      </c>
      <c r="E17" t="s">
        <v>28</v>
      </c>
      <c r="F17">
        <v>3</v>
      </c>
      <c r="G17">
        <v>11804</v>
      </c>
      <c r="H17">
        <v>35412</v>
      </c>
    </row>
    <row r="18" spans="1:8" x14ac:dyDescent="0.25">
      <c r="A18">
        <v>17</v>
      </c>
      <c r="B18" s="6">
        <v>46072</v>
      </c>
      <c r="C18" t="s">
        <v>18</v>
      </c>
      <c r="D18" t="s">
        <v>13</v>
      </c>
      <c r="E18" t="s">
        <v>14</v>
      </c>
      <c r="F18">
        <v>1</v>
      </c>
      <c r="G18">
        <v>8066</v>
      </c>
      <c r="H18">
        <v>8066</v>
      </c>
    </row>
    <row r="19" spans="1:8" x14ac:dyDescent="0.25">
      <c r="A19">
        <v>18</v>
      </c>
      <c r="B19" s="6">
        <v>46073</v>
      </c>
      <c r="C19" t="s">
        <v>29</v>
      </c>
      <c r="D19" t="s">
        <v>9</v>
      </c>
      <c r="E19" t="s">
        <v>27</v>
      </c>
      <c r="F19">
        <v>3</v>
      </c>
      <c r="G19">
        <v>2203</v>
      </c>
      <c r="H19">
        <v>6609</v>
      </c>
    </row>
    <row r="20" spans="1:8" x14ac:dyDescent="0.25">
      <c r="A20">
        <v>19</v>
      </c>
      <c r="B20" s="6">
        <v>46074</v>
      </c>
      <c r="C20" t="s">
        <v>29</v>
      </c>
      <c r="D20" t="s">
        <v>25</v>
      </c>
      <c r="E20" t="s">
        <v>26</v>
      </c>
      <c r="F20">
        <v>6</v>
      </c>
      <c r="G20">
        <v>10342</v>
      </c>
      <c r="H20">
        <v>62052</v>
      </c>
    </row>
    <row r="21" spans="1:8" x14ac:dyDescent="0.25">
      <c r="A21">
        <v>20</v>
      </c>
      <c r="B21" s="6">
        <v>46075</v>
      </c>
      <c r="C21" t="s">
        <v>19</v>
      </c>
      <c r="D21" t="s">
        <v>9</v>
      </c>
      <c r="E21" t="s">
        <v>21</v>
      </c>
      <c r="F21">
        <v>28</v>
      </c>
      <c r="G21">
        <v>3717</v>
      </c>
      <c r="H21">
        <v>104076</v>
      </c>
    </row>
    <row r="22" spans="1:8" x14ac:dyDescent="0.25">
      <c r="A22">
        <v>21</v>
      </c>
      <c r="B22" s="6">
        <v>46076</v>
      </c>
      <c r="C22" t="s">
        <v>23</v>
      </c>
      <c r="D22" t="s">
        <v>13</v>
      </c>
      <c r="E22" t="s">
        <v>12</v>
      </c>
      <c r="F22">
        <v>20</v>
      </c>
      <c r="G22">
        <v>1784</v>
      </c>
      <c r="H22">
        <v>35680</v>
      </c>
    </row>
    <row r="23" spans="1:8" x14ac:dyDescent="0.25">
      <c r="A23">
        <v>22</v>
      </c>
      <c r="B23" s="6">
        <v>46077</v>
      </c>
      <c r="C23" t="s">
        <v>30</v>
      </c>
      <c r="D23" t="s">
        <v>16</v>
      </c>
      <c r="E23" t="s">
        <v>28</v>
      </c>
      <c r="F23">
        <v>22</v>
      </c>
      <c r="G23">
        <v>5344</v>
      </c>
      <c r="H23">
        <v>117568</v>
      </c>
    </row>
    <row r="24" spans="1:8" x14ac:dyDescent="0.25">
      <c r="A24">
        <v>23</v>
      </c>
      <c r="B24" s="6">
        <v>46078</v>
      </c>
      <c r="C24" t="s">
        <v>30</v>
      </c>
      <c r="D24" t="s">
        <v>25</v>
      </c>
      <c r="E24" t="s">
        <v>31</v>
      </c>
      <c r="F24">
        <v>24</v>
      </c>
      <c r="G24">
        <v>6781</v>
      </c>
      <c r="H24">
        <v>162744</v>
      </c>
    </row>
    <row r="25" spans="1:8" x14ac:dyDescent="0.25">
      <c r="A25">
        <v>24</v>
      </c>
      <c r="B25" s="6">
        <v>46079</v>
      </c>
      <c r="C25" t="s">
        <v>15</v>
      </c>
      <c r="D25" t="s">
        <v>9</v>
      </c>
      <c r="E25" t="s">
        <v>10</v>
      </c>
      <c r="F25">
        <v>1</v>
      </c>
      <c r="G25">
        <v>10593</v>
      </c>
      <c r="H25">
        <v>10593</v>
      </c>
    </row>
    <row r="26" spans="1:8" x14ac:dyDescent="0.25">
      <c r="A26">
        <v>25</v>
      </c>
      <c r="B26" s="6">
        <v>46080</v>
      </c>
      <c r="C26" t="s">
        <v>30</v>
      </c>
      <c r="D26" t="s">
        <v>16</v>
      </c>
      <c r="E26" t="s">
        <v>12</v>
      </c>
      <c r="F26">
        <v>21</v>
      </c>
      <c r="G26">
        <v>3995</v>
      </c>
      <c r="H26">
        <v>83895</v>
      </c>
    </row>
    <row r="27" spans="1:8" x14ac:dyDescent="0.25">
      <c r="A27">
        <v>26</v>
      </c>
      <c r="B27" s="6">
        <v>46081</v>
      </c>
      <c r="C27" t="s">
        <v>8</v>
      </c>
      <c r="D27" t="s">
        <v>25</v>
      </c>
      <c r="E27" t="s">
        <v>26</v>
      </c>
      <c r="F27">
        <v>18</v>
      </c>
      <c r="G27">
        <v>5106</v>
      </c>
      <c r="H27">
        <v>91908</v>
      </c>
    </row>
    <row r="28" spans="1:8" x14ac:dyDescent="0.25">
      <c r="A28">
        <v>27</v>
      </c>
      <c r="B28" s="6">
        <v>46082</v>
      </c>
      <c r="C28" t="s">
        <v>23</v>
      </c>
      <c r="D28" t="s">
        <v>13</v>
      </c>
      <c r="E28" t="s">
        <v>24</v>
      </c>
      <c r="F28">
        <v>15</v>
      </c>
      <c r="G28">
        <v>3378</v>
      </c>
      <c r="H28">
        <v>50670</v>
      </c>
    </row>
    <row r="29" spans="1:8" x14ac:dyDescent="0.25">
      <c r="A29">
        <v>28</v>
      </c>
      <c r="B29" s="6">
        <v>46083</v>
      </c>
      <c r="C29" t="s">
        <v>8</v>
      </c>
      <c r="D29" t="s">
        <v>9</v>
      </c>
      <c r="E29" t="s">
        <v>12</v>
      </c>
      <c r="F29">
        <v>3</v>
      </c>
      <c r="G29">
        <v>5141</v>
      </c>
      <c r="H29">
        <v>15423</v>
      </c>
    </row>
    <row r="30" spans="1:8" x14ac:dyDescent="0.25">
      <c r="A30">
        <v>29</v>
      </c>
      <c r="B30" s="6">
        <v>46084</v>
      </c>
      <c r="C30" t="s">
        <v>20</v>
      </c>
      <c r="D30" t="s">
        <v>16</v>
      </c>
      <c r="E30" t="s">
        <v>10</v>
      </c>
      <c r="F30">
        <v>8</v>
      </c>
      <c r="G30">
        <v>9537</v>
      </c>
      <c r="H30">
        <v>76296</v>
      </c>
    </row>
    <row r="31" spans="1:8" x14ac:dyDescent="0.25">
      <c r="A31">
        <v>30</v>
      </c>
      <c r="B31" s="6">
        <v>46085</v>
      </c>
      <c r="C31" t="s">
        <v>11</v>
      </c>
      <c r="D31" t="s">
        <v>16</v>
      </c>
      <c r="E31" t="s">
        <v>31</v>
      </c>
      <c r="F31">
        <v>25</v>
      </c>
      <c r="G31">
        <v>11567</v>
      </c>
      <c r="H31">
        <v>289175</v>
      </c>
    </row>
    <row r="32" spans="1:8" x14ac:dyDescent="0.25">
      <c r="A32">
        <v>31</v>
      </c>
      <c r="B32" s="6">
        <v>46086</v>
      </c>
      <c r="C32" t="s">
        <v>20</v>
      </c>
      <c r="D32" t="s">
        <v>9</v>
      </c>
      <c r="E32" t="s">
        <v>14</v>
      </c>
      <c r="F32">
        <v>2</v>
      </c>
      <c r="G32">
        <v>6662</v>
      </c>
      <c r="H32">
        <v>13324</v>
      </c>
    </row>
    <row r="33" spans="1:8" x14ac:dyDescent="0.25">
      <c r="A33">
        <v>32</v>
      </c>
      <c r="B33" s="6">
        <v>46087</v>
      </c>
      <c r="C33" t="s">
        <v>23</v>
      </c>
      <c r="D33" t="s">
        <v>25</v>
      </c>
      <c r="E33" t="s">
        <v>24</v>
      </c>
      <c r="F33">
        <v>12</v>
      </c>
      <c r="G33">
        <v>2452</v>
      </c>
      <c r="H33">
        <v>29424</v>
      </c>
    </row>
    <row r="34" spans="1:8" x14ac:dyDescent="0.25">
      <c r="A34">
        <v>33</v>
      </c>
      <c r="B34" s="6">
        <v>46088</v>
      </c>
      <c r="C34" t="s">
        <v>23</v>
      </c>
      <c r="D34" t="s">
        <v>9</v>
      </c>
      <c r="E34" t="s">
        <v>28</v>
      </c>
      <c r="F34">
        <v>16</v>
      </c>
      <c r="G34">
        <v>7301</v>
      </c>
      <c r="H34">
        <v>116816</v>
      </c>
    </row>
    <row r="35" spans="1:8" x14ac:dyDescent="0.25">
      <c r="A35">
        <v>34</v>
      </c>
      <c r="B35" s="6">
        <v>46089</v>
      </c>
      <c r="C35" t="s">
        <v>30</v>
      </c>
      <c r="D35" t="s">
        <v>13</v>
      </c>
      <c r="E35" t="s">
        <v>21</v>
      </c>
      <c r="F35">
        <v>2</v>
      </c>
      <c r="G35">
        <v>7876</v>
      </c>
      <c r="H35">
        <v>15752</v>
      </c>
    </row>
    <row r="36" spans="1:8" x14ac:dyDescent="0.25">
      <c r="A36">
        <v>35</v>
      </c>
      <c r="B36" s="6">
        <v>46090</v>
      </c>
      <c r="C36" t="s">
        <v>30</v>
      </c>
      <c r="D36" t="s">
        <v>16</v>
      </c>
      <c r="E36" t="s">
        <v>24</v>
      </c>
      <c r="F36">
        <v>24</v>
      </c>
      <c r="G36">
        <v>4476</v>
      </c>
      <c r="H36">
        <v>107424</v>
      </c>
    </row>
    <row r="37" spans="1:8" x14ac:dyDescent="0.25">
      <c r="A37">
        <v>36</v>
      </c>
      <c r="B37" s="6">
        <v>46091</v>
      </c>
      <c r="C37" t="s">
        <v>11</v>
      </c>
      <c r="D37" t="s">
        <v>25</v>
      </c>
      <c r="E37" t="s">
        <v>12</v>
      </c>
      <c r="F37">
        <v>6</v>
      </c>
      <c r="G37">
        <v>7729</v>
      </c>
      <c r="H37">
        <v>46374</v>
      </c>
    </row>
    <row r="38" spans="1:8" x14ac:dyDescent="0.25">
      <c r="A38">
        <v>37</v>
      </c>
      <c r="B38" s="6">
        <v>46092</v>
      </c>
      <c r="C38" t="s">
        <v>23</v>
      </c>
      <c r="D38" t="s">
        <v>13</v>
      </c>
      <c r="E38" t="s">
        <v>17</v>
      </c>
      <c r="F38">
        <v>24</v>
      </c>
      <c r="G38">
        <v>7619</v>
      </c>
      <c r="H38">
        <v>182856</v>
      </c>
    </row>
    <row r="39" spans="1:8" x14ac:dyDescent="0.25">
      <c r="A39">
        <v>38</v>
      </c>
      <c r="B39" s="6">
        <v>46093</v>
      </c>
      <c r="C39" t="s">
        <v>19</v>
      </c>
      <c r="D39" t="s">
        <v>25</v>
      </c>
      <c r="E39" t="s">
        <v>21</v>
      </c>
      <c r="F39">
        <v>18</v>
      </c>
      <c r="G39">
        <v>8772</v>
      </c>
      <c r="H39">
        <v>157896</v>
      </c>
    </row>
    <row r="40" spans="1:8" x14ac:dyDescent="0.25">
      <c r="A40">
        <v>39</v>
      </c>
      <c r="B40" s="6">
        <v>46094</v>
      </c>
      <c r="C40" t="s">
        <v>20</v>
      </c>
      <c r="D40" t="s">
        <v>13</v>
      </c>
      <c r="E40" t="s">
        <v>27</v>
      </c>
      <c r="F40">
        <v>5</v>
      </c>
      <c r="G40">
        <v>10275</v>
      </c>
      <c r="H40">
        <v>51375</v>
      </c>
    </row>
    <row r="41" spans="1:8" x14ac:dyDescent="0.25">
      <c r="A41">
        <v>40</v>
      </c>
      <c r="B41" s="6">
        <v>46095</v>
      </c>
      <c r="C41" t="s">
        <v>30</v>
      </c>
      <c r="D41" t="s">
        <v>25</v>
      </c>
      <c r="E41" t="s">
        <v>26</v>
      </c>
      <c r="F41">
        <v>15</v>
      </c>
      <c r="G41">
        <v>7267</v>
      </c>
      <c r="H41">
        <v>109005</v>
      </c>
    </row>
    <row r="42" spans="1:8" x14ac:dyDescent="0.25">
      <c r="A42">
        <v>41</v>
      </c>
      <c r="B42" s="6">
        <v>46096</v>
      </c>
      <c r="C42" t="s">
        <v>22</v>
      </c>
      <c r="D42" t="s">
        <v>13</v>
      </c>
      <c r="E42" t="s">
        <v>24</v>
      </c>
      <c r="F42">
        <v>5</v>
      </c>
      <c r="G42">
        <v>10051</v>
      </c>
      <c r="H42">
        <v>50255</v>
      </c>
    </row>
    <row r="43" spans="1:8" x14ac:dyDescent="0.25">
      <c r="A43">
        <v>42</v>
      </c>
      <c r="B43" s="6">
        <v>46097</v>
      </c>
      <c r="C43" t="s">
        <v>29</v>
      </c>
      <c r="D43" t="s">
        <v>13</v>
      </c>
      <c r="E43" t="s">
        <v>28</v>
      </c>
      <c r="F43">
        <v>8</v>
      </c>
      <c r="G43">
        <v>8895</v>
      </c>
      <c r="H43">
        <v>71160</v>
      </c>
    </row>
    <row r="44" spans="1:8" x14ac:dyDescent="0.25">
      <c r="A44">
        <v>43</v>
      </c>
      <c r="B44" s="6">
        <v>46098</v>
      </c>
      <c r="C44" t="s">
        <v>19</v>
      </c>
      <c r="D44" t="s">
        <v>9</v>
      </c>
      <c r="E44" t="s">
        <v>12</v>
      </c>
      <c r="F44">
        <v>6</v>
      </c>
      <c r="G44">
        <v>9056</v>
      </c>
      <c r="H44">
        <v>54336</v>
      </c>
    </row>
    <row r="45" spans="1:8" x14ac:dyDescent="0.25">
      <c r="A45">
        <v>44</v>
      </c>
      <c r="B45" s="6">
        <v>46099</v>
      </c>
      <c r="C45" t="s">
        <v>23</v>
      </c>
      <c r="D45" t="s">
        <v>25</v>
      </c>
      <c r="E45" t="s">
        <v>28</v>
      </c>
      <c r="F45">
        <v>29</v>
      </c>
      <c r="G45">
        <v>10762</v>
      </c>
      <c r="H45">
        <v>312098</v>
      </c>
    </row>
    <row r="46" spans="1:8" x14ac:dyDescent="0.25">
      <c r="A46">
        <v>45</v>
      </c>
      <c r="B46" s="6">
        <v>46100</v>
      </c>
      <c r="C46" t="s">
        <v>19</v>
      </c>
      <c r="D46" t="s">
        <v>25</v>
      </c>
      <c r="E46" t="s">
        <v>10</v>
      </c>
      <c r="F46">
        <v>22</v>
      </c>
      <c r="G46">
        <v>2924</v>
      </c>
      <c r="H46">
        <v>64328</v>
      </c>
    </row>
    <row r="47" spans="1:8" x14ac:dyDescent="0.25">
      <c r="A47">
        <v>46</v>
      </c>
      <c r="B47" s="6">
        <v>46101</v>
      </c>
      <c r="C47" t="s">
        <v>23</v>
      </c>
      <c r="D47" t="s">
        <v>9</v>
      </c>
      <c r="E47" t="s">
        <v>24</v>
      </c>
      <c r="F47">
        <v>14</v>
      </c>
      <c r="G47">
        <v>11522</v>
      </c>
      <c r="H47">
        <v>161308</v>
      </c>
    </row>
    <row r="48" spans="1:8" x14ac:dyDescent="0.25">
      <c r="A48">
        <v>47</v>
      </c>
      <c r="B48" s="6">
        <v>46102</v>
      </c>
      <c r="C48" t="s">
        <v>20</v>
      </c>
      <c r="D48" t="s">
        <v>13</v>
      </c>
      <c r="E48" t="s">
        <v>26</v>
      </c>
      <c r="F48">
        <v>5</v>
      </c>
      <c r="G48">
        <v>8376</v>
      </c>
      <c r="H48">
        <v>41880</v>
      </c>
    </row>
    <row r="49" spans="1:8" x14ac:dyDescent="0.25">
      <c r="A49">
        <v>48</v>
      </c>
      <c r="B49" s="6">
        <v>46103</v>
      </c>
      <c r="C49" t="s">
        <v>8</v>
      </c>
      <c r="D49" t="s">
        <v>16</v>
      </c>
      <c r="E49" t="s">
        <v>26</v>
      </c>
      <c r="F49">
        <v>8</v>
      </c>
      <c r="G49">
        <v>5073</v>
      </c>
      <c r="H49">
        <v>40584</v>
      </c>
    </row>
    <row r="50" spans="1:8" x14ac:dyDescent="0.25">
      <c r="A50">
        <v>49</v>
      </c>
      <c r="B50" s="6">
        <v>46104</v>
      </c>
      <c r="C50" t="s">
        <v>19</v>
      </c>
      <c r="D50" t="s">
        <v>16</v>
      </c>
      <c r="E50" t="s">
        <v>28</v>
      </c>
      <c r="F50">
        <v>14</v>
      </c>
      <c r="G50">
        <v>6172</v>
      </c>
      <c r="H50">
        <v>86408</v>
      </c>
    </row>
    <row r="51" spans="1:8" x14ac:dyDescent="0.25">
      <c r="A51">
        <v>50</v>
      </c>
      <c r="B51" s="6">
        <v>46105</v>
      </c>
      <c r="C51" t="s">
        <v>22</v>
      </c>
      <c r="D51" t="s">
        <v>16</v>
      </c>
      <c r="E51" t="s">
        <v>10</v>
      </c>
      <c r="F51">
        <v>26</v>
      </c>
      <c r="G51">
        <v>2850</v>
      </c>
      <c r="H51">
        <v>74100</v>
      </c>
    </row>
  </sheetData>
  <pageMargins left="0.75" right="0.75" top="1" bottom="1" header="0.5" footer="0.5"/>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ED1DDA-58A6-4EAD-AE11-0D9B116C9ACB}">
  <sheetPr codeName="Sheet3"/>
  <dimension ref="B1"/>
  <sheetViews>
    <sheetView showGridLines="0" showRowColHeaders="0" tabSelected="1" zoomScale="55" zoomScaleNormal="55" workbookViewId="0">
      <selection activeCell="W16" sqref="W16"/>
    </sheetView>
  </sheetViews>
  <sheetFormatPr defaultRowHeight="15" x14ac:dyDescent="0.25"/>
  <cols>
    <col min="2" max="2" width="9" style="8"/>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Sales Products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onyeka2003lilian@gmail.com</cp:lastModifiedBy>
  <cp:lastPrinted>2026-06-01T09:18:38Z</cp:lastPrinted>
  <dcterms:created xsi:type="dcterms:W3CDTF">2026-05-30T08:00:29Z</dcterms:created>
  <dcterms:modified xsi:type="dcterms:W3CDTF">2026-07-30T14:45:23Z</dcterms:modified>
</cp:coreProperties>
</file>